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Codigos\Python\IC_Corrida\Dados\"/>
    </mc:Choice>
  </mc:AlternateContent>
  <xr:revisionPtr revIDLastSave="0" documentId="13_ncr:1_{D7029C6F-B51A-4813-BA4D-00D8EFEA8F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" sheetId="2" r:id="rId1"/>
    <sheet name="Ajust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" i="3"/>
  <c r="O9" i="3"/>
  <c r="O10" i="3"/>
  <c r="O11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" i="3"/>
  <c r="L4" i="3"/>
  <c r="M4" i="3" s="1"/>
  <c r="N4" i="3" s="1"/>
  <c r="L5" i="3"/>
  <c r="M5" i="3" s="1"/>
  <c r="N5" i="3" s="1"/>
  <c r="L6" i="3"/>
  <c r="M6" i="3" s="1"/>
  <c r="N6" i="3" s="1"/>
  <c r="L7" i="3"/>
  <c r="M7" i="3" s="1"/>
  <c r="N7" i="3" s="1"/>
  <c r="L8" i="3"/>
  <c r="M8" i="3" s="1"/>
  <c r="N8" i="3" s="1"/>
  <c r="L9" i="3"/>
  <c r="M9" i="3" s="1"/>
  <c r="N9" i="3" s="1"/>
  <c r="L10" i="3"/>
  <c r="M10" i="3" s="1"/>
  <c r="L11" i="3"/>
  <c r="M11" i="3" s="1"/>
  <c r="N11" i="3" s="1"/>
  <c r="L12" i="3"/>
  <c r="M12" i="3" s="1"/>
  <c r="O12" i="3" s="1"/>
  <c r="L13" i="3"/>
  <c r="M13" i="3" s="1"/>
  <c r="N13" i="3" s="1"/>
  <c r="L14" i="3"/>
  <c r="M14" i="3" s="1"/>
  <c r="N14" i="3" s="1"/>
  <c r="L15" i="3"/>
  <c r="M15" i="3" s="1"/>
  <c r="N15" i="3" s="1"/>
  <c r="L16" i="3"/>
  <c r="M16" i="3" s="1"/>
  <c r="N16" i="3" s="1"/>
  <c r="L17" i="3"/>
  <c r="M17" i="3" s="1"/>
  <c r="N17" i="3" s="1"/>
  <c r="L18" i="3"/>
  <c r="M18" i="3" s="1"/>
  <c r="N18" i="3" s="1"/>
  <c r="L19" i="3"/>
  <c r="M19" i="3" s="1"/>
  <c r="O19" i="3" s="1"/>
  <c r="L20" i="3"/>
  <c r="M20" i="3" s="1"/>
  <c r="N20" i="3" s="1"/>
  <c r="L21" i="3"/>
  <c r="M21" i="3" s="1"/>
  <c r="N21" i="3" s="1"/>
  <c r="L22" i="3"/>
  <c r="M22" i="3" s="1"/>
  <c r="N22" i="3" s="1"/>
  <c r="L23" i="3"/>
  <c r="M23" i="3" s="1"/>
  <c r="N23" i="3" s="1"/>
  <c r="L24" i="3"/>
  <c r="M24" i="3" s="1"/>
  <c r="N24" i="3" s="1"/>
  <c r="L25" i="3"/>
  <c r="M25" i="3" s="1"/>
  <c r="N25" i="3" s="1"/>
  <c r="L26" i="3"/>
  <c r="M26" i="3" s="1"/>
  <c r="O26" i="3" s="1"/>
  <c r="L27" i="3"/>
  <c r="M27" i="3" s="1"/>
  <c r="N27" i="3" s="1"/>
  <c r="L28" i="3"/>
  <c r="M28" i="3" s="1"/>
  <c r="N28" i="3" s="1"/>
  <c r="L29" i="3"/>
  <c r="M29" i="3" s="1"/>
  <c r="N29" i="3" s="1"/>
  <c r="L30" i="3"/>
  <c r="M30" i="3" s="1"/>
  <c r="N30" i="3" s="1"/>
  <c r="L31" i="3"/>
  <c r="M31" i="3" s="1"/>
  <c r="N31" i="3" s="1"/>
  <c r="L3" i="3"/>
  <c r="M3" i="3" s="1"/>
  <c r="N3" i="3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3"/>
  <c r="O3" i="3" l="1"/>
  <c r="O31" i="3"/>
  <c r="O30" i="3"/>
  <c r="O29" i="3"/>
  <c r="O28" i="3"/>
  <c r="O27" i="3"/>
  <c r="O13" i="3"/>
  <c r="O25" i="3"/>
  <c r="O18" i="3"/>
  <c r="O17" i="3"/>
  <c r="O16" i="3"/>
  <c r="O15" i="3"/>
  <c r="O14" i="3"/>
  <c r="O8" i="3"/>
  <c r="O7" i="3"/>
  <c r="O6" i="3"/>
  <c r="O22" i="3"/>
  <c r="O21" i="3"/>
  <c r="O5" i="3"/>
  <c r="O24" i="3"/>
  <c r="O23" i="3"/>
  <c r="O20" i="3"/>
  <c r="O4" i="3"/>
  <c r="N12" i="3"/>
  <c r="N10" i="3"/>
  <c r="N26" i="3"/>
  <c r="N19" i="3"/>
</calcChain>
</file>

<file path=xl/sharedStrings.xml><?xml version="1.0" encoding="utf-8"?>
<sst xmlns="http://schemas.openxmlformats.org/spreadsheetml/2006/main" count="104" uniqueCount="67">
  <si>
    <t>Grupo</t>
  </si>
  <si>
    <t>Nome</t>
  </si>
  <si>
    <t>1km</t>
  </si>
  <si>
    <t>2km</t>
  </si>
  <si>
    <t>3km</t>
  </si>
  <si>
    <t>1km pós 21km_z1</t>
  </si>
  <si>
    <t>21 km</t>
  </si>
  <si>
    <t>1km pós 21km_TT</t>
  </si>
  <si>
    <t>42km</t>
  </si>
  <si>
    <t>Volume 8 semanas</t>
  </si>
  <si>
    <t>% realização dos treinos proposto</t>
  </si>
  <si>
    <t>z1</t>
  </si>
  <si>
    <t>z2</t>
  </si>
  <si>
    <t>z3</t>
  </si>
  <si>
    <t>%z1</t>
  </si>
  <si>
    <t>%z2</t>
  </si>
  <si>
    <t>%z3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</si>
  <si>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</si>
  <si>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</si>
  <si>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</si>
  <si>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</si>
  <si>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</si>
  <si>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</si>
  <si>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</si>
  <si>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</si>
  <si>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</si>
  <si>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</si>
  <si>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</si>
  <si>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</si>
  <si>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</si>
  <si>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</si>
  <si>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</si>
  <si>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</si>
  <si>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</si>
  <si>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</si>
  <si>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</si>
  <si>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</si>
  <si>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</si>
  <si>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</si>
  <si>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</si>
  <si>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</si>
  <si>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</si>
  <si>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</si>
  <si>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</si>
  <si>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</si>
  <si>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</si>
  <si>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Tempo dos 42km estimado com base no 21</t>
  </si>
  <si>
    <t>Pace 42km</t>
  </si>
  <si>
    <t>Pace 3km</t>
  </si>
  <si>
    <t>Pace 21km</t>
  </si>
  <si>
    <t>Resultado da previsão</t>
  </si>
  <si>
    <t>Proporção entre tempo estimado e real</t>
  </si>
  <si>
    <t>Meta (Km)</t>
  </si>
  <si>
    <t>Volume 8 semanas (Km)</t>
  </si>
  <si>
    <t>z1 (Km)</t>
  </si>
  <si>
    <t>z2 (Km)</t>
  </si>
  <si>
    <t>z3 (Km)</t>
  </si>
  <si>
    <t>% Piora do pace z1</t>
  </si>
  <si>
    <t>% Piora do pace TT</t>
  </si>
  <si>
    <t>Pace 2km_16-abr</t>
  </si>
  <si>
    <t>2km_16-abr</t>
  </si>
  <si>
    <t>1km_23-abr</t>
  </si>
  <si>
    <t>3km_21-abr</t>
  </si>
  <si>
    <t>1km pós 21km_z1_25-abr</t>
  </si>
  <si>
    <t>1km_21-mai</t>
  </si>
  <si>
    <t>1km pós 21km_TT_24-mai</t>
  </si>
  <si>
    <t>21km_24-mai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</si>
</sst>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9480"/>
        <bgColor indexed="64"/>
      </patternFill>
    </fill>
    <fill>
      <patternFill patternType="solid">
        <fgColor rgb="FFA5D7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16" fontId="5" fillId="0" borderId="0" xfId="0" applyNumberFormat="1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1" fontId="0" fillId="0" borderId="0" xfId="0" applyNumberFormat="1" applyAlignment="1">
      <alignment horizontal="center"/>
    </xf>
    <xf numFmtId="2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Fill="1"/>
    <xf numFmtId="0" fontId="4" fillId="0" borderId="0" xfId="0" applyFont="1" applyFill="1" applyAlignment="1">
      <alignment horizontal="left"/>
    </xf>
    <xf numFmtId="0" fontId="2" fillId="0" borderId="0" xfId="0" applyFont="1" applyFill="1"/>
    <xf numFmtId="21" fontId="0" fillId="0" borderId="0" xfId="0" applyNumberFormat="1" applyFill="1"/>
    <xf numFmtId="21" fontId="0" fillId="0" borderId="0" xfId="0" applyNumberFormat="1" applyFill="1" applyAlignment="1">
      <alignment horizontal="center"/>
    </xf>
    <xf numFmtId="21" fontId="3" fillId="0" borderId="0" xfId="0" applyNumberFormat="1" applyFont="1" applyFill="1" applyAlignment="1">
      <alignment horizontal="center" wrapText="1"/>
    </xf>
    <xf numFmtId="21" fontId="6" fillId="0" borderId="0" xfId="0" applyNumberFormat="1" applyFont="1" applyFill="1" applyAlignment="1">
      <alignment horizontal="center"/>
    </xf>
    <xf numFmtId="164" fontId="0" fillId="0" borderId="0" xfId="0" applyNumberFormat="1" applyFill="1"/>
    <xf numFmtId="1" fontId="0" fillId="0" borderId="0" xfId="0" applyNumberFormat="1" applyFill="1" applyAlignment="1">
      <alignment horizontal="center"/>
    </xf>
    <xf numFmtId="21" fontId="3" fillId="0" borderId="0" xfId="0" applyNumberFormat="1" applyFont="1" applyFill="1" applyAlignment="1">
      <alignment horizontal="center"/>
    </xf>
    <xf numFmtId="21" fontId="8" fillId="0" borderId="0" xfId="0" applyNumberFormat="1" applyFont="1" applyFill="1" applyAlignment="1">
      <alignment horizont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right"/>
    </xf>
    <xf numFmtId="21" fontId="0" fillId="0" borderId="0" xfId="0" applyNumberFormat="1"/>
    <xf numFmtId="0" fontId="0" fillId="2" borderId="0" xfId="0" applyFill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21" fontId="3" fillId="4" borderId="0" xfId="0" applyNumberFormat="1" applyFont="1" applyFill="1" applyAlignment="1">
      <alignment horizontal="center" wrapText="1"/>
    </xf>
    <xf numFmtId="21" fontId="3" fillId="5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3" fillId="0" borderId="0" xfId="0" applyNumberFormat="1" applyFont="1" applyFill="1" applyAlignment="1">
      <alignment horizontal="center" wrapText="1"/>
    </xf>
    <xf numFmtId="164" fontId="3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 wrapText="1"/>
    </xf>
    <xf numFmtId="10" fontId="6" fillId="0" borderId="0" xfId="0" applyNumberFormat="1" applyFont="1" applyFill="1" applyAlignment="1">
      <alignment horizontal="center"/>
    </xf>
    <xf numFmtId="10" fontId="0" fillId="0" borderId="0" xfId="0" applyNumberForma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A5D7F5"/>
      <color rgb="FFF89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F768-8888-4C4C-8055-BE50D00F39B9}">
  <dimension ref="A1:R31"/>
  <sheetViews>
    <sheetView zoomScale="85" zoomScaleNormal="85" workbookViewId="0">
      <selection activeCell="J2" sqref="J2"/>
    </sheetView>
  </sheetViews>
  <sheetFormatPr defaultRowHeight="15" x14ac:dyDescent="0.25"/>
  <cols>
    <col min="1" max="1" width="6.42578125" bestFit="1" customWidth="1"/>
    <col min="2" max="2" width="19.42578125" style="10" bestFit="1" customWidth="1"/>
    <col min="6" max="6" width="16.85546875" bestFit="1" customWidth="1"/>
    <col min="9" max="9" width="16.85546875" bestFit="1" customWidth="1"/>
    <col min="11" max="11" width="17.42578125" customWidth="1"/>
    <col min="12" max="12" width="31.5703125" bestFit="1" customWidth="1"/>
  </cols>
  <sheetData>
    <row r="1" spans="1:18" x14ac:dyDescent="0.25">
      <c r="C1" s="2">
        <v>46135</v>
      </c>
      <c r="D1" s="2">
        <v>46128</v>
      </c>
      <c r="E1" s="2">
        <v>46133</v>
      </c>
      <c r="F1" s="2">
        <v>46137</v>
      </c>
      <c r="G1" s="3">
        <v>46163</v>
      </c>
      <c r="H1" s="3">
        <v>46166</v>
      </c>
      <c r="I1" s="3">
        <v>46166</v>
      </c>
      <c r="J1" s="4">
        <v>46180</v>
      </c>
      <c r="K1" s="4"/>
    </row>
    <row r="2" spans="1:18" x14ac:dyDescent="0.25">
      <c r="A2" t="s">
        <v>0</v>
      </c>
      <c r="B2" s="11" t="s">
        <v>1</v>
      </c>
      <c r="C2" s="1" t="s">
        <v>2</v>
      </c>
      <c r="D2" s="1" t="s">
        <v>3</v>
      </c>
      <c r="E2" s="1" t="s">
        <v>4</v>
      </c>
      <c r="F2" s="5" t="s">
        <v>5</v>
      </c>
      <c r="G2" s="5" t="s">
        <v>2</v>
      </c>
      <c r="H2" s="5" t="s">
        <v>6</v>
      </c>
      <c r="I2" s="5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</row>
    <row r="3" spans="1:18" x14ac:dyDescent="0.25">
      <c r="A3" s="21">
        <v>1</v>
      </c>
      <c r="B3" s="12" t="s">
        <v>17</v>
      </c>
      <c r="C3" s="13">
        <v>3.0671296296296297E-3</v>
      </c>
      <c r="D3" s="13">
        <v>6.8865740740740745E-3</v>
      </c>
      <c r="E3" s="13">
        <v>1.0729166666666666E-2</v>
      </c>
      <c r="F3" s="14">
        <v>3.5069444444444445E-3</v>
      </c>
      <c r="G3" s="15">
        <v>3.2175925925925926E-3</v>
      </c>
      <c r="H3" s="15">
        <v>8.4560185185185183E-2</v>
      </c>
      <c r="I3" s="16">
        <v>3.5300925925925925E-3</v>
      </c>
      <c r="J3" s="17">
        <v>0.17849537037037036</v>
      </c>
      <c r="K3" s="18">
        <v>406</v>
      </c>
      <c r="L3" s="9">
        <v>99.509803921568633</v>
      </c>
      <c r="M3" s="9">
        <v>322</v>
      </c>
      <c r="N3" s="9">
        <v>26</v>
      </c>
      <c r="O3" s="9">
        <v>58</v>
      </c>
      <c r="P3" s="9">
        <v>79.310344827586206</v>
      </c>
      <c r="Q3" s="9">
        <v>6.403940886699508</v>
      </c>
      <c r="R3" s="9">
        <v>14.285714285714285</v>
      </c>
    </row>
    <row r="4" spans="1:18" x14ac:dyDescent="0.25">
      <c r="A4" s="21">
        <v>1</v>
      </c>
      <c r="B4" s="12" t="s">
        <v>18</v>
      </c>
      <c r="C4" s="13">
        <v>2.9861111111111113E-3</v>
      </c>
      <c r="D4" s="13">
        <v>6.1111111111111114E-3</v>
      </c>
      <c r="E4" s="13">
        <v>9.3749999999999997E-3</v>
      </c>
      <c r="F4" s="14">
        <v>3.1712962962962962E-3</v>
      </c>
      <c r="G4" s="15">
        <v>2.8819444444444444E-3</v>
      </c>
      <c r="H4" s="15">
        <v>6.8275462962962968E-2</v>
      </c>
      <c r="I4" s="16">
        <v>3.2291666666666666E-3</v>
      </c>
      <c r="J4" s="17">
        <v>0.15560185185185185</v>
      </c>
      <c r="K4" s="18">
        <v>407</v>
      </c>
      <c r="L4" s="9">
        <v>99.754901960784309</v>
      </c>
      <c r="M4" s="9">
        <v>323</v>
      </c>
      <c r="N4" s="9">
        <v>26</v>
      </c>
      <c r="O4" s="9">
        <v>58</v>
      </c>
      <c r="P4" s="9">
        <v>79.361179361179353</v>
      </c>
      <c r="Q4" s="9">
        <v>6.3882063882063882</v>
      </c>
      <c r="R4" s="9">
        <v>14.250614250614252</v>
      </c>
    </row>
    <row r="5" spans="1:18" x14ac:dyDescent="0.25">
      <c r="A5" s="21">
        <v>1</v>
      </c>
      <c r="B5" s="12" t="s">
        <v>19</v>
      </c>
      <c r="C5" s="13">
        <v>3.2523148148148147E-3</v>
      </c>
      <c r="D5" s="13">
        <v>6.7129629629629631E-3</v>
      </c>
      <c r="E5" s="13">
        <v>9.8148148148148144E-3</v>
      </c>
      <c r="F5" s="14">
        <v>3.425925925925926E-3</v>
      </c>
      <c r="G5" s="15">
        <v>3.2407407407407406E-3</v>
      </c>
      <c r="H5" s="15">
        <v>8.1493055555555555E-2</v>
      </c>
      <c r="I5" s="16">
        <v>3.1481481481481482E-3</v>
      </c>
      <c r="J5" s="17">
        <v>0.17256944444444444</v>
      </c>
      <c r="K5" s="18">
        <v>409</v>
      </c>
      <c r="L5" s="9">
        <v>100.24509803921569</v>
      </c>
      <c r="M5" s="9">
        <v>325</v>
      </c>
      <c r="N5" s="9">
        <v>26</v>
      </c>
      <c r="O5" s="9">
        <v>58</v>
      </c>
      <c r="P5" s="9">
        <v>79.462102689486557</v>
      </c>
      <c r="Q5" s="9">
        <v>6.3569682151589246</v>
      </c>
      <c r="R5" s="9">
        <v>14.180929095354522</v>
      </c>
    </row>
    <row r="6" spans="1:18" x14ac:dyDescent="0.25">
      <c r="A6" s="21">
        <v>1</v>
      </c>
      <c r="B6" s="12" t="s">
        <v>20</v>
      </c>
      <c r="C6" s="13">
        <v>2.2106481481481482E-3</v>
      </c>
      <c r="D6" s="13">
        <v>4.8495370370370368E-3</v>
      </c>
      <c r="E6" s="13">
        <v>7.6041666666666671E-3</v>
      </c>
      <c r="F6" s="14">
        <v>2.5925925925925925E-3</v>
      </c>
      <c r="G6" s="15">
        <v>2.3263888888888887E-3</v>
      </c>
      <c r="H6" s="15">
        <v>5.8611111111111114E-2</v>
      </c>
      <c r="I6" s="16">
        <v>2.5231481481481481E-3</v>
      </c>
      <c r="J6" s="17">
        <v>0.12532407407407409</v>
      </c>
      <c r="K6" s="18">
        <v>524</v>
      </c>
      <c r="L6" s="9">
        <v>100.19120458891013</v>
      </c>
      <c r="M6" s="9">
        <v>418</v>
      </c>
      <c r="N6" s="9">
        <v>34</v>
      </c>
      <c r="O6" s="9">
        <v>72</v>
      </c>
      <c r="P6" s="9">
        <v>79.770992366412216</v>
      </c>
      <c r="Q6" s="9">
        <v>6.4885496183206106</v>
      </c>
      <c r="R6" s="9">
        <v>13.740458015267176</v>
      </c>
    </row>
    <row r="7" spans="1:18" x14ac:dyDescent="0.25">
      <c r="A7" s="21">
        <v>1</v>
      </c>
      <c r="B7" s="12" t="s">
        <v>21</v>
      </c>
      <c r="C7" s="13">
        <v>3.1365740740740742E-3</v>
      </c>
      <c r="D7" s="13">
        <v>6.4236111111111108E-3</v>
      </c>
      <c r="E7" s="13">
        <v>9.8958333333333329E-3</v>
      </c>
      <c r="F7" s="14">
        <v>3.4375E-3</v>
      </c>
      <c r="G7" s="15">
        <v>3.0439814814814813E-3</v>
      </c>
      <c r="H7" s="19">
        <v>7.7187500000000006E-2</v>
      </c>
      <c r="I7" s="16">
        <v>3.3449074074074076E-3</v>
      </c>
      <c r="J7" s="17">
        <v>0.16966435185185186</v>
      </c>
      <c r="K7" s="18">
        <v>367</v>
      </c>
      <c r="L7" s="9">
        <v>89.950980392156865</v>
      </c>
      <c r="M7" s="9">
        <v>316</v>
      </c>
      <c r="N7" s="9">
        <v>22</v>
      </c>
      <c r="O7" s="9">
        <v>29</v>
      </c>
      <c r="P7" s="9">
        <v>86.103542234332423</v>
      </c>
      <c r="Q7" s="9">
        <v>5.9945504087193457</v>
      </c>
      <c r="R7" s="9">
        <v>7.9019073569482288</v>
      </c>
    </row>
    <row r="8" spans="1:18" x14ac:dyDescent="0.25">
      <c r="A8" s="21">
        <v>1</v>
      </c>
      <c r="B8" s="12" t="s">
        <v>22</v>
      </c>
      <c r="C8" s="13">
        <v>2.8703703703703703E-3</v>
      </c>
      <c r="D8" s="13">
        <v>6.4814814814814813E-3</v>
      </c>
      <c r="E8" s="13">
        <v>9.8263888888888897E-3</v>
      </c>
      <c r="F8" s="14">
        <v>2.9861111111111113E-3</v>
      </c>
      <c r="G8" s="15">
        <v>2.8587962962962963E-3</v>
      </c>
      <c r="H8" s="15">
        <v>7.3888888888888893E-2</v>
      </c>
      <c r="I8" s="16">
        <v>2.9513888888888888E-3</v>
      </c>
      <c r="J8" s="17">
        <v>0.15402777777777779</v>
      </c>
      <c r="K8" s="18">
        <v>408</v>
      </c>
      <c r="L8" s="9">
        <v>100</v>
      </c>
      <c r="M8" s="9">
        <v>324</v>
      </c>
      <c r="N8" s="9">
        <v>26</v>
      </c>
      <c r="O8" s="9">
        <v>58</v>
      </c>
      <c r="P8" s="9">
        <v>79.411764705882348</v>
      </c>
      <c r="Q8" s="9">
        <v>6.3725490196078427</v>
      </c>
      <c r="R8" s="9">
        <v>14.215686274509803</v>
      </c>
    </row>
    <row r="9" spans="1:18" x14ac:dyDescent="0.25">
      <c r="A9" s="21">
        <v>1</v>
      </c>
      <c r="B9" s="12" t="s">
        <v>23</v>
      </c>
      <c r="C9" s="13">
        <v>2.3842592592592591E-3</v>
      </c>
      <c r="D9" s="13">
        <v>5.0000000000000001E-3</v>
      </c>
      <c r="E9" s="13">
        <v>7.2685185185185188E-3</v>
      </c>
      <c r="F9" s="14">
        <v>2.6157407407407405E-3</v>
      </c>
      <c r="G9" s="15">
        <v>2.5000000000000001E-3</v>
      </c>
      <c r="H9" s="15">
        <v>6.2337962962962963E-2</v>
      </c>
      <c r="I9" s="16">
        <v>2.662037037037037E-3</v>
      </c>
      <c r="J9" s="17">
        <v>0.13575231481481481</v>
      </c>
      <c r="K9" s="18">
        <v>521</v>
      </c>
      <c r="L9" s="9">
        <v>99.617590822179736</v>
      </c>
      <c r="M9" s="9">
        <v>413</v>
      </c>
      <c r="N9" s="9">
        <v>36</v>
      </c>
      <c r="O9" s="9">
        <v>72</v>
      </c>
      <c r="P9" s="9">
        <v>79.270633397312864</v>
      </c>
      <c r="Q9" s="9">
        <v>6.90978886756238</v>
      </c>
      <c r="R9" s="9">
        <v>13.81957773512476</v>
      </c>
    </row>
    <row r="10" spans="1:18" x14ac:dyDescent="0.25">
      <c r="A10" s="21">
        <v>1</v>
      </c>
      <c r="B10" s="12" t="s">
        <v>24</v>
      </c>
      <c r="C10" s="13">
        <v>2.8587962962962963E-3</v>
      </c>
      <c r="D10" s="13">
        <v>6.145833333333333E-3</v>
      </c>
      <c r="E10" s="13">
        <v>9.1435185185185178E-3</v>
      </c>
      <c r="F10" s="14">
        <v>2.9282407407407408E-3</v>
      </c>
      <c r="G10" s="15">
        <v>2.9861111111111113E-3</v>
      </c>
      <c r="H10" s="15">
        <v>7.5011574074074078E-2</v>
      </c>
      <c r="I10" s="16">
        <v>3.1828703703703702E-3</v>
      </c>
      <c r="J10" s="17">
        <v>0.15540509259259258</v>
      </c>
      <c r="K10" s="18">
        <v>399</v>
      </c>
      <c r="L10" s="9">
        <v>97.794117647058826</v>
      </c>
      <c r="M10" s="9">
        <v>325</v>
      </c>
      <c r="N10" s="9">
        <v>26</v>
      </c>
      <c r="O10" s="9">
        <v>48</v>
      </c>
      <c r="P10" s="9">
        <v>81.453634085213039</v>
      </c>
      <c r="Q10" s="9">
        <v>6.5162907268170418</v>
      </c>
      <c r="R10" s="9">
        <v>12.030075187969924</v>
      </c>
    </row>
    <row r="11" spans="1:18" x14ac:dyDescent="0.25">
      <c r="A11" s="21">
        <v>1</v>
      </c>
      <c r="B11" s="12" t="s">
        <v>25</v>
      </c>
      <c r="C11" s="13">
        <v>2.3611111111111111E-3</v>
      </c>
      <c r="D11" s="13">
        <v>5.2893518518518515E-3</v>
      </c>
      <c r="E11" s="13">
        <v>8.1481481481481474E-3</v>
      </c>
      <c r="F11" s="14">
        <v>2.627314814814815E-3</v>
      </c>
      <c r="G11" s="15">
        <v>2.2916666666666667E-3</v>
      </c>
      <c r="H11" s="15">
        <v>6.3425925925925927E-2</v>
      </c>
      <c r="I11" s="16">
        <v>2.7662037037037039E-3</v>
      </c>
      <c r="J11" s="17">
        <v>0.13238425925925926</v>
      </c>
      <c r="K11" s="18">
        <v>402</v>
      </c>
      <c r="L11" s="9">
        <v>98.529411764705884</v>
      </c>
      <c r="M11" s="9">
        <v>318</v>
      </c>
      <c r="N11" s="9">
        <v>26</v>
      </c>
      <c r="O11" s="9">
        <v>58</v>
      </c>
      <c r="P11" s="9">
        <v>79.104477611940297</v>
      </c>
      <c r="Q11" s="9">
        <v>6.467661691542288</v>
      </c>
      <c r="R11" s="9">
        <v>14.427860696517413</v>
      </c>
    </row>
    <row r="12" spans="1:18" x14ac:dyDescent="0.25">
      <c r="A12" s="21">
        <v>1</v>
      </c>
      <c r="B12" s="12" t="s">
        <v>26</v>
      </c>
      <c r="C12" s="13">
        <v>2.1412037037037038E-3</v>
      </c>
      <c r="D12" s="13">
        <v>4.7337962962962967E-3</v>
      </c>
      <c r="E12" s="13">
        <v>7.6620370370370366E-3</v>
      </c>
      <c r="F12" s="14">
        <v>2.5578703703703705E-3</v>
      </c>
      <c r="G12" s="15">
        <v>2.2800925925925927E-3</v>
      </c>
      <c r="H12" s="15">
        <v>6.1215277777777778E-2</v>
      </c>
      <c r="I12" s="16">
        <v>2.662037037037037E-3</v>
      </c>
      <c r="J12" s="17">
        <v>0.12758101851851852</v>
      </c>
      <c r="K12" s="18">
        <v>476</v>
      </c>
      <c r="L12" s="9">
        <v>91.013384321223711</v>
      </c>
      <c r="M12" s="9">
        <v>396</v>
      </c>
      <c r="N12" s="9">
        <v>24</v>
      </c>
      <c r="O12" s="9">
        <v>56</v>
      </c>
      <c r="P12" s="9">
        <v>83.193277310924373</v>
      </c>
      <c r="Q12" s="9">
        <v>5.0420168067226889</v>
      </c>
      <c r="R12" s="9">
        <v>11.76470588235294</v>
      </c>
    </row>
    <row r="13" spans="1:18" x14ac:dyDescent="0.25">
      <c r="A13" s="21">
        <v>1</v>
      </c>
      <c r="B13" s="12" t="s">
        <v>27</v>
      </c>
      <c r="C13" s="13">
        <v>2.5000000000000001E-3</v>
      </c>
      <c r="D13" s="13">
        <v>5.0694444444444441E-3</v>
      </c>
      <c r="E13" s="13">
        <v>8.0208333333333329E-3</v>
      </c>
      <c r="F13" s="14">
        <v>2.5810185185185185E-3</v>
      </c>
      <c r="G13" s="15">
        <v>2.3495370370370371E-3</v>
      </c>
      <c r="H13" s="15">
        <v>6.232638888888889E-2</v>
      </c>
      <c r="I13" s="16">
        <v>2.662037037037037E-3</v>
      </c>
      <c r="J13" s="17">
        <v>0.1310300925925926</v>
      </c>
      <c r="K13" s="18">
        <v>477</v>
      </c>
      <c r="L13" s="9">
        <v>91.20458891013385</v>
      </c>
      <c r="M13" s="9">
        <v>387</v>
      </c>
      <c r="N13" s="9">
        <v>34</v>
      </c>
      <c r="O13" s="9">
        <v>56</v>
      </c>
      <c r="P13" s="9">
        <v>81.132075471698116</v>
      </c>
      <c r="Q13" s="9">
        <v>7.1278825995807118</v>
      </c>
      <c r="R13" s="9">
        <v>11.740041928721174</v>
      </c>
    </row>
    <row r="14" spans="1:18" x14ac:dyDescent="0.25">
      <c r="A14" s="21">
        <v>1</v>
      </c>
      <c r="B14" s="12" t="s">
        <v>28</v>
      </c>
      <c r="C14" s="13">
        <v>3.0555555555555557E-3</v>
      </c>
      <c r="D14" s="13">
        <v>6.5509259259259262E-3</v>
      </c>
      <c r="E14" s="13">
        <v>9.9768518518518513E-3</v>
      </c>
      <c r="F14" s="14">
        <v>3.2175925925925926E-3</v>
      </c>
      <c r="G14" s="15">
        <v>3.1018518518518517E-3</v>
      </c>
      <c r="H14" s="15">
        <v>8.0335648148148142E-2</v>
      </c>
      <c r="I14" s="16">
        <v>3.0439814814814813E-3</v>
      </c>
      <c r="J14" s="17">
        <v>0.16743055555555555</v>
      </c>
      <c r="K14" s="18">
        <v>355</v>
      </c>
      <c r="L14" s="9">
        <v>87.009803921568633</v>
      </c>
      <c r="M14" s="9">
        <v>286</v>
      </c>
      <c r="N14" s="9">
        <v>26</v>
      </c>
      <c r="O14" s="9">
        <v>43</v>
      </c>
      <c r="P14" s="9">
        <v>80.563380281690144</v>
      </c>
      <c r="Q14" s="9">
        <v>7.323943661971831</v>
      </c>
      <c r="R14" s="9">
        <v>12.112676056338028</v>
      </c>
    </row>
    <row r="15" spans="1:18" x14ac:dyDescent="0.25">
      <c r="A15" s="21">
        <v>1</v>
      </c>
      <c r="B15" s="12" t="s">
        <v>29</v>
      </c>
      <c r="C15" s="13">
        <v>2.3495370370370371E-3</v>
      </c>
      <c r="D15" s="13">
        <v>4.7800925925925927E-3</v>
      </c>
      <c r="E15" s="13">
        <v>7.2916666666666668E-3</v>
      </c>
      <c r="F15" s="14">
        <v>2.4305555555555556E-3</v>
      </c>
      <c r="G15" s="15">
        <v>2.2800925925925927E-3</v>
      </c>
      <c r="H15" s="15">
        <v>5.5474537037037037E-2</v>
      </c>
      <c r="I15" s="16">
        <v>2.627314814814815E-3</v>
      </c>
      <c r="J15" s="17">
        <v>0.12289351851851851</v>
      </c>
      <c r="K15" s="18">
        <v>478</v>
      </c>
      <c r="L15" s="9">
        <v>91.395793499043975</v>
      </c>
      <c r="M15" s="9">
        <v>382</v>
      </c>
      <c r="N15" s="9">
        <v>34</v>
      </c>
      <c r="O15" s="9">
        <v>62</v>
      </c>
      <c r="P15" s="9">
        <v>79.9163179916318</v>
      </c>
      <c r="Q15" s="9">
        <v>7.1129707112970717</v>
      </c>
      <c r="R15" s="9">
        <v>12.97071129707113</v>
      </c>
    </row>
    <row r="16" spans="1:18" x14ac:dyDescent="0.25">
      <c r="A16" s="21">
        <v>1</v>
      </c>
      <c r="B16" s="12" t="s">
        <v>30</v>
      </c>
      <c r="C16" s="13">
        <v>2.1759259259259258E-3</v>
      </c>
      <c r="D16" s="13">
        <v>4.6759259259259263E-3</v>
      </c>
      <c r="E16" s="13">
        <v>7.1759259259259259E-3</v>
      </c>
      <c r="F16" s="14">
        <v>2.3379629629629631E-3</v>
      </c>
      <c r="G16" s="15">
        <v>2.1643518518518518E-3</v>
      </c>
      <c r="H16" s="15">
        <v>5.8229166666666665E-2</v>
      </c>
      <c r="I16" s="16">
        <v>2.5231481481481481E-3</v>
      </c>
      <c r="J16" s="17">
        <v>0.12375</v>
      </c>
      <c r="K16" s="18">
        <v>510</v>
      </c>
      <c r="L16" s="9">
        <v>97.514340344168261</v>
      </c>
      <c r="M16" s="9">
        <v>394</v>
      </c>
      <c r="N16" s="9">
        <v>42</v>
      </c>
      <c r="O16" s="9">
        <v>74</v>
      </c>
      <c r="P16" s="9">
        <v>77.254901960784323</v>
      </c>
      <c r="Q16" s="9">
        <v>8.235294117647058</v>
      </c>
      <c r="R16" s="9">
        <v>14.509803921568629</v>
      </c>
    </row>
    <row r="17" spans="1:18" x14ac:dyDescent="0.25">
      <c r="A17" s="21">
        <v>1</v>
      </c>
      <c r="B17" s="12" t="s">
        <v>31</v>
      </c>
      <c r="C17" s="13">
        <v>2.5000000000000001E-3</v>
      </c>
      <c r="D17" s="13">
        <v>5.5671296296296293E-3</v>
      </c>
      <c r="E17" s="13">
        <v>8.2638888888888883E-3</v>
      </c>
      <c r="F17" s="14">
        <v>2.9166666666666668E-3</v>
      </c>
      <c r="G17" s="15">
        <v>2.4305555555555556E-3</v>
      </c>
      <c r="H17" s="15">
        <v>6.7962962962962961E-2</v>
      </c>
      <c r="I17" s="16">
        <v>3.2986111111111111E-3</v>
      </c>
      <c r="J17" s="17">
        <v>0.14288194444444444</v>
      </c>
      <c r="K17" s="18">
        <v>410</v>
      </c>
      <c r="L17" s="9">
        <v>100.49019607843137</v>
      </c>
      <c r="M17" s="9">
        <v>330</v>
      </c>
      <c r="N17" s="9">
        <v>24</v>
      </c>
      <c r="O17" s="9">
        <v>56</v>
      </c>
      <c r="P17" s="9">
        <v>80.487804878048792</v>
      </c>
      <c r="Q17" s="9">
        <v>5.8536585365853666</v>
      </c>
      <c r="R17" s="9">
        <v>13.658536585365855</v>
      </c>
    </row>
    <row r="18" spans="1:18" x14ac:dyDescent="0.25">
      <c r="A18" s="21">
        <v>2</v>
      </c>
      <c r="B18" s="12" t="s">
        <v>32</v>
      </c>
      <c r="C18" s="13">
        <v>3.460648148148148E-3</v>
      </c>
      <c r="D18" s="13">
        <v>7.0023148148148145E-3</v>
      </c>
      <c r="E18" s="13">
        <v>1.0787037037037038E-2</v>
      </c>
      <c r="F18" s="14">
        <v>3.6574074074074074E-3</v>
      </c>
      <c r="G18" s="15">
        <v>3.3333333333333335E-3</v>
      </c>
      <c r="H18" s="15">
        <v>7.9768518518518516E-2</v>
      </c>
      <c r="I18" s="16">
        <v>3.4953703703703705E-3</v>
      </c>
      <c r="J18" s="17">
        <v>0.1784375</v>
      </c>
      <c r="K18" s="18">
        <v>408</v>
      </c>
      <c r="L18" s="9">
        <v>100</v>
      </c>
      <c r="M18" s="9">
        <v>300</v>
      </c>
      <c r="N18" s="9">
        <v>79</v>
      </c>
      <c r="O18" s="9">
        <v>29</v>
      </c>
      <c r="P18" s="9">
        <v>73.529411764705884</v>
      </c>
      <c r="Q18" s="9">
        <v>19.362745098039216</v>
      </c>
      <c r="R18" s="9">
        <v>7.1078431372549016</v>
      </c>
    </row>
    <row r="19" spans="1:18" x14ac:dyDescent="0.25">
      <c r="A19" s="21">
        <v>2</v>
      </c>
      <c r="B19" s="12" t="s">
        <v>33</v>
      </c>
      <c r="C19" s="13">
        <v>3.3796296296296296E-3</v>
      </c>
      <c r="D19" s="13">
        <v>6.875E-3</v>
      </c>
      <c r="E19" s="13">
        <v>1.074074074074074E-2</v>
      </c>
      <c r="F19" s="14">
        <v>3.449074074074074E-3</v>
      </c>
      <c r="G19" s="15">
        <v>3.3101851851851851E-3</v>
      </c>
      <c r="H19" s="15">
        <v>8.8032407407407406E-2</v>
      </c>
      <c r="I19" s="16">
        <v>3.6805555555555554E-3</v>
      </c>
      <c r="J19" s="17">
        <v>0.1567824074074074</v>
      </c>
      <c r="K19" s="18">
        <v>306</v>
      </c>
      <c r="L19" s="9">
        <v>75</v>
      </c>
      <c r="M19" s="9">
        <v>241</v>
      </c>
      <c r="N19" s="9">
        <v>47</v>
      </c>
      <c r="O19" s="9">
        <v>18</v>
      </c>
      <c r="P19" s="9">
        <v>78.75816993464052</v>
      </c>
      <c r="Q19" s="9">
        <v>15.359477124183007</v>
      </c>
      <c r="R19" s="9">
        <v>5.8823529411764701</v>
      </c>
    </row>
    <row r="20" spans="1:18" x14ac:dyDescent="0.25">
      <c r="A20" s="21">
        <v>2</v>
      </c>
      <c r="B20" s="12" t="s">
        <v>34</v>
      </c>
      <c r="C20" s="13">
        <v>3.1828703703703702E-3</v>
      </c>
      <c r="D20" s="13">
        <v>6.7708333333333336E-3</v>
      </c>
      <c r="E20" s="13">
        <v>0.01</v>
      </c>
      <c r="F20" s="14">
        <v>3.7268518518518519E-3</v>
      </c>
      <c r="G20" s="15">
        <v>3.4027777777777776E-3</v>
      </c>
      <c r="H20" s="15">
        <v>8.2013888888888886E-2</v>
      </c>
      <c r="I20" s="16">
        <v>3.7152777777777778E-3</v>
      </c>
      <c r="J20" s="17">
        <v>0.18373842592592593</v>
      </c>
      <c r="K20" s="18">
        <v>398</v>
      </c>
      <c r="L20" s="9">
        <v>97.549019607843135</v>
      </c>
      <c r="M20" s="9">
        <v>290</v>
      </c>
      <c r="N20" s="9">
        <v>79</v>
      </c>
      <c r="O20" s="9">
        <v>29</v>
      </c>
      <c r="P20" s="9">
        <v>72.8643216080402</v>
      </c>
      <c r="Q20" s="9">
        <v>19.849246231155778</v>
      </c>
      <c r="R20" s="9">
        <v>7.2864321608040195</v>
      </c>
    </row>
    <row r="21" spans="1:18" x14ac:dyDescent="0.25">
      <c r="A21" s="21">
        <v>2</v>
      </c>
      <c r="B21" s="12" t="s">
        <v>35</v>
      </c>
      <c r="C21" s="13">
        <v>3.1134259259259257E-3</v>
      </c>
      <c r="D21" s="13">
        <v>6.4930555555555557E-3</v>
      </c>
      <c r="E21" s="13">
        <v>1.0451388888888889E-2</v>
      </c>
      <c r="F21" s="14">
        <v>3.5300925925925925E-3</v>
      </c>
      <c r="G21" s="15">
        <v>3.1134259259259257E-3</v>
      </c>
      <c r="H21" s="15">
        <v>8.5532407407407404E-2</v>
      </c>
      <c r="I21" s="16">
        <v>3.460648148148148E-3</v>
      </c>
      <c r="J21" s="17">
        <v>0.18304398148148149</v>
      </c>
      <c r="K21" s="18">
        <v>388</v>
      </c>
      <c r="L21" s="9">
        <v>95.098039215686271</v>
      </c>
      <c r="M21" s="9">
        <v>280</v>
      </c>
      <c r="N21" s="9">
        <v>79</v>
      </c>
      <c r="O21" s="9">
        <v>29</v>
      </c>
      <c r="P21" s="9">
        <v>72.164948453608247</v>
      </c>
      <c r="Q21" s="9">
        <v>20.36082474226804</v>
      </c>
      <c r="R21" s="9">
        <v>7.4742268041237114</v>
      </c>
    </row>
    <row r="22" spans="1:18" x14ac:dyDescent="0.25">
      <c r="A22" s="21">
        <v>2</v>
      </c>
      <c r="B22" s="12" t="s">
        <v>36</v>
      </c>
      <c r="C22" s="13">
        <v>2.2685185185185187E-3</v>
      </c>
      <c r="D22" s="13">
        <v>4.8148148148148152E-3</v>
      </c>
      <c r="E22" s="13">
        <v>7.3263888888888892E-3</v>
      </c>
      <c r="F22" s="14">
        <v>2.4421296296296296E-3</v>
      </c>
      <c r="G22" s="15">
        <v>2.2222222222222222E-3</v>
      </c>
      <c r="H22" s="15">
        <v>6.2407407407407404E-2</v>
      </c>
      <c r="I22" s="16">
        <v>2.7662037037037039E-3</v>
      </c>
      <c r="J22" s="17">
        <v>0.14651620370370369</v>
      </c>
      <c r="K22" s="18">
        <v>517</v>
      </c>
      <c r="L22" s="9">
        <v>98.852772466539193</v>
      </c>
      <c r="M22" s="9">
        <v>384</v>
      </c>
      <c r="N22" s="9">
        <v>95</v>
      </c>
      <c r="O22" s="9">
        <v>38</v>
      </c>
      <c r="P22" s="9">
        <v>74.274661508704071</v>
      </c>
      <c r="Q22" s="9">
        <v>18.375241779497099</v>
      </c>
      <c r="R22" s="9">
        <v>7.3500967117988401</v>
      </c>
    </row>
    <row r="23" spans="1:18" x14ac:dyDescent="0.25">
      <c r="A23" s="21">
        <v>2</v>
      </c>
      <c r="B23" s="12" t="s">
        <v>37</v>
      </c>
      <c r="C23" s="13">
        <v>2.5347222222222221E-3</v>
      </c>
      <c r="D23" s="13">
        <v>5.092592592592593E-3</v>
      </c>
      <c r="E23" s="13">
        <v>8.2523148148148148E-3</v>
      </c>
      <c r="F23" s="14">
        <v>2.8240740740740739E-3</v>
      </c>
      <c r="G23" s="15">
        <v>2.5000000000000001E-3</v>
      </c>
      <c r="H23" s="15">
        <v>6.7800925925925931E-2</v>
      </c>
      <c r="I23" s="16">
        <v>2.8356481481481483E-3</v>
      </c>
      <c r="J23" s="17">
        <v>0.16119212962962962</v>
      </c>
      <c r="K23" s="18">
        <v>335</v>
      </c>
      <c r="L23" s="9">
        <v>82.107843137254903</v>
      </c>
      <c r="M23" s="9">
        <v>231</v>
      </c>
      <c r="N23" s="9">
        <v>79</v>
      </c>
      <c r="O23" s="9">
        <v>25</v>
      </c>
      <c r="P23" s="9">
        <v>68.955223880597018</v>
      </c>
      <c r="Q23" s="9">
        <v>23.582089552238806</v>
      </c>
      <c r="R23" s="9">
        <v>7.4626865671641784</v>
      </c>
    </row>
    <row r="24" spans="1:18" x14ac:dyDescent="0.25">
      <c r="A24" s="21">
        <v>2</v>
      </c>
      <c r="B24" s="12" t="s">
        <v>38</v>
      </c>
      <c r="C24" s="13">
        <v>2.8356481481481483E-3</v>
      </c>
      <c r="D24" s="13">
        <v>5.8217592592592592E-3</v>
      </c>
      <c r="E24" s="13">
        <v>9.0972222222222218E-3</v>
      </c>
      <c r="F24" s="14">
        <v>3.414351851851852E-3</v>
      </c>
      <c r="G24" s="15">
        <v>2.638888888888889E-3</v>
      </c>
      <c r="H24" s="15">
        <v>6.7800925925925931E-2</v>
      </c>
      <c r="I24" s="16">
        <v>3.1944444444444446E-3</v>
      </c>
      <c r="J24" s="17">
        <v>0.15945601851851851</v>
      </c>
      <c r="K24" s="18">
        <v>341</v>
      </c>
      <c r="L24" s="9">
        <v>83.578431372549019</v>
      </c>
      <c r="M24" s="9">
        <v>242</v>
      </c>
      <c r="N24" s="9">
        <v>74</v>
      </c>
      <c r="O24" s="9">
        <v>25</v>
      </c>
      <c r="P24" s="9">
        <v>70.967741935483872</v>
      </c>
      <c r="Q24" s="9">
        <v>21.700879765395893</v>
      </c>
      <c r="R24" s="9">
        <v>7.3313782991202352</v>
      </c>
    </row>
    <row r="25" spans="1:18" x14ac:dyDescent="0.25">
      <c r="A25" s="21">
        <v>2</v>
      </c>
      <c r="B25" s="12" t="s">
        <v>39</v>
      </c>
      <c r="C25" s="13">
        <v>2.2106481481481482E-3</v>
      </c>
      <c r="D25" s="13">
        <v>4.5486111111111109E-3</v>
      </c>
      <c r="E25" s="13">
        <v>7.3842592592592597E-3</v>
      </c>
      <c r="F25" s="14">
        <v>2.3032407407407407E-3</v>
      </c>
      <c r="G25" s="15">
        <v>2.2106481481481482E-3</v>
      </c>
      <c r="H25" s="15">
        <v>6.0011574074074071E-2</v>
      </c>
      <c r="I25" s="16">
        <v>2.627314814814815E-3</v>
      </c>
      <c r="J25" s="17">
        <v>0.13030092592592593</v>
      </c>
      <c r="K25" s="18">
        <v>527</v>
      </c>
      <c r="L25" s="9">
        <v>100.76481835564053</v>
      </c>
      <c r="M25" s="9">
        <v>386</v>
      </c>
      <c r="N25" s="9">
        <v>105</v>
      </c>
      <c r="O25" s="9">
        <v>36</v>
      </c>
      <c r="P25" s="9">
        <v>73.244781783681219</v>
      </c>
      <c r="Q25" s="9">
        <v>19.924098671726757</v>
      </c>
      <c r="R25" s="9">
        <v>6.8311195445920303</v>
      </c>
    </row>
    <row r="26" spans="1:18" x14ac:dyDescent="0.25">
      <c r="A26" s="21">
        <v>2</v>
      </c>
      <c r="B26" s="12" t="s">
        <v>40</v>
      </c>
      <c r="C26" s="13">
        <v>2.7199074074074074E-3</v>
      </c>
      <c r="D26" s="13">
        <v>5.8333333333333336E-3</v>
      </c>
      <c r="E26" s="13">
        <v>8.8541666666666664E-3</v>
      </c>
      <c r="F26" s="14">
        <v>2.8703703703703703E-3</v>
      </c>
      <c r="G26" s="15">
        <v>2.7662037037037039E-3</v>
      </c>
      <c r="H26" s="15">
        <v>6.7696759259259262E-2</v>
      </c>
      <c r="I26" s="16">
        <v>3.0439814814814813E-3</v>
      </c>
      <c r="J26" s="17">
        <v>0.1542824074074074</v>
      </c>
      <c r="K26" s="18">
        <v>391</v>
      </c>
      <c r="L26" s="9">
        <v>95.833333333333343</v>
      </c>
      <c r="M26" s="9">
        <v>284</v>
      </c>
      <c r="N26" s="9">
        <v>79</v>
      </c>
      <c r="O26" s="9">
        <v>28</v>
      </c>
      <c r="P26" s="9">
        <v>72.63427109974424</v>
      </c>
      <c r="Q26" s="9">
        <v>20.204603580562662</v>
      </c>
      <c r="R26" s="9">
        <v>7.1611253196930944</v>
      </c>
    </row>
    <row r="27" spans="1:18" x14ac:dyDescent="0.25">
      <c r="A27" s="21">
        <v>2</v>
      </c>
      <c r="B27" s="12" t="s">
        <v>41</v>
      </c>
      <c r="C27" s="13">
        <v>2.7083333333333334E-3</v>
      </c>
      <c r="D27" s="13">
        <v>5.6134259259259262E-3</v>
      </c>
      <c r="E27" s="13">
        <v>8.3912037037037045E-3</v>
      </c>
      <c r="F27" s="14">
        <v>2.8703703703703703E-3</v>
      </c>
      <c r="G27" s="15">
        <v>2.4305555555555556E-3</v>
      </c>
      <c r="H27" s="15">
        <v>6.2210648148148147E-2</v>
      </c>
      <c r="I27" s="16">
        <v>2.5810185185185185E-3</v>
      </c>
      <c r="J27" s="17">
        <v>0.1322800925925926</v>
      </c>
      <c r="K27" s="18">
        <v>523</v>
      </c>
      <c r="L27" s="9">
        <v>100</v>
      </c>
      <c r="M27" s="9">
        <v>388</v>
      </c>
      <c r="N27" s="9">
        <v>97</v>
      </c>
      <c r="O27" s="9">
        <v>38</v>
      </c>
      <c r="P27" s="9">
        <v>74.187380497131926</v>
      </c>
      <c r="Q27" s="9">
        <v>18.546845124282981</v>
      </c>
      <c r="R27" s="9">
        <v>7.2657743785850863</v>
      </c>
    </row>
    <row r="28" spans="1:18" x14ac:dyDescent="0.25">
      <c r="A28" s="21">
        <v>2</v>
      </c>
      <c r="B28" s="12" t="s">
        <v>42</v>
      </c>
      <c r="C28" s="13">
        <v>3.2754629629629631E-3</v>
      </c>
      <c r="D28" s="13">
        <v>7.0717592592592594E-3</v>
      </c>
      <c r="E28" s="13">
        <v>1.1597222222222222E-2</v>
      </c>
      <c r="F28" s="14">
        <v>3.6458333333333334E-3</v>
      </c>
      <c r="G28" s="15">
        <v>3.1481481481481482E-3</v>
      </c>
      <c r="H28" s="15">
        <v>8.8645833333333326E-2</v>
      </c>
      <c r="I28" s="14">
        <v>3.8425925925925928E-3</v>
      </c>
      <c r="J28" s="17">
        <v>0.18107638888888888</v>
      </c>
      <c r="K28" s="18">
        <v>342</v>
      </c>
      <c r="L28" s="9">
        <v>83.82352941176471</v>
      </c>
      <c r="M28" s="9">
        <v>251</v>
      </c>
      <c r="N28" s="9">
        <v>66</v>
      </c>
      <c r="O28" s="9">
        <v>25</v>
      </c>
      <c r="P28" s="9">
        <v>73.391812865497073</v>
      </c>
      <c r="Q28" s="9">
        <v>19.298245614035086</v>
      </c>
      <c r="R28" s="9">
        <v>7.3099415204678362</v>
      </c>
    </row>
    <row r="29" spans="1:18" x14ac:dyDescent="0.25">
      <c r="A29" s="21">
        <v>2</v>
      </c>
      <c r="B29" s="12" t="s">
        <v>43</v>
      </c>
      <c r="C29" s="13">
        <v>2.3148148148148147E-3</v>
      </c>
      <c r="D29" s="13">
        <v>5.2199074074074075E-3</v>
      </c>
      <c r="E29" s="13">
        <v>8.0324074074074082E-3</v>
      </c>
      <c r="F29" s="14">
        <v>3.3680555555555556E-3</v>
      </c>
      <c r="G29" s="15">
        <v>2.3148148148148147E-3</v>
      </c>
      <c r="H29" s="20">
        <v>7.0069444444444448E-2</v>
      </c>
      <c r="I29" s="16">
        <v>2.6967592592592594E-3</v>
      </c>
      <c r="J29" s="17">
        <v>0.14337962962962963</v>
      </c>
      <c r="K29" s="18">
        <v>463</v>
      </c>
      <c r="L29" s="9">
        <v>113.48039215686273</v>
      </c>
      <c r="M29" s="9">
        <v>380</v>
      </c>
      <c r="N29" s="9">
        <v>74</v>
      </c>
      <c r="O29" s="9">
        <v>9</v>
      </c>
      <c r="P29" s="9">
        <v>82.073434125269983</v>
      </c>
      <c r="Q29" s="9">
        <v>15.982721382289416</v>
      </c>
      <c r="R29" s="9">
        <v>1.9438444924406046</v>
      </c>
    </row>
    <row r="30" spans="1:18" s="22" customFormat="1" x14ac:dyDescent="0.25">
      <c r="A30" s="23">
        <v>2</v>
      </c>
      <c r="B30" s="11" t="s">
        <v>44</v>
      </c>
      <c r="C30" s="8">
        <v>3.2523148148148147E-3</v>
      </c>
      <c r="D30" s="8">
        <v>6.6550925925925927E-3</v>
      </c>
      <c r="E30" s="8">
        <v>1.037037037037037E-2</v>
      </c>
      <c r="F30" s="7">
        <v>3.4953703703703705E-3</v>
      </c>
      <c r="G30" s="14">
        <v>3.1597222222222222E-3</v>
      </c>
      <c r="H30" s="14">
        <v>8.1481481481481488E-2</v>
      </c>
      <c r="I30" s="14">
        <v>3.6226851851851854E-3</v>
      </c>
      <c r="J30" s="14">
        <v>0.17881944444444445</v>
      </c>
      <c r="K30" s="18">
        <v>395</v>
      </c>
      <c r="L30" s="9">
        <v>96</v>
      </c>
      <c r="M30" s="9">
        <v>298</v>
      </c>
      <c r="N30" s="9">
        <v>72</v>
      </c>
      <c r="O30" s="9">
        <v>25</v>
      </c>
      <c r="P30" s="9">
        <v>75</v>
      </c>
      <c r="Q30" s="9">
        <v>18</v>
      </c>
      <c r="R30" s="9">
        <v>6</v>
      </c>
    </row>
    <row r="31" spans="1:18" s="22" customFormat="1" x14ac:dyDescent="0.25">
      <c r="A31" s="23">
        <v>2</v>
      </c>
      <c r="B31" s="11" t="s">
        <v>45</v>
      </c>
      <c r="C31" s="7">
        <v>3.0671296296296297E-3</v>
      </c>
      <c r="D31" s="7">
        <v>6.8055555555555551E-3</v>
      </c>
      <c r="E31" s="7">
        <v>1.0532407407407407E-2</v>
      </c>
      <c r="F31" s="7">
        <v>3.3564814814814816E-3</v>
      </c>
      <c r="G31" s="7">
        <v>2.9861111111111113E-3</v>
      </c>
      <c r="H31" s="7">
        <v>8.6249999999999993E-2</v>
      </c>
      <c r="I31" s="7">
        <v>3.5648148148148149E-3</v>
      </c>
      <c r="J31" s="7">
        <v>0.18625</v>
      </c>
      <c r="K31" s="18">
        <v>372</v>
      </c>
      <c r="L31" s="9">
        <v>91</v>
      </c>
      <c r="M31" s="9">
        <v>295</v>
      </c>
      <c r="N31" s="9">
        <v>55</v>
      </c>
      <c r="O31" s="9">
        <v>22</v>
      </c>
      <c r="P31" s="9">
        <v>79</v>
      </c>
      <c r="Q31" s="9">
        <v>14</v>
      </c>
      <c r="R31" s="9">
        <v>6</v>
      </c>
    </row>
  </sheetData>
  <conditionalFormatting sqref="L3:L31">
    <cfRule type="cellIs" dxfId="3" priority="1" operator="greaterThan">
      <formula>90</formula>
    </cfRule>
    <cfRule type="cellIs" dxfId="2" priority="2" operator="lessThan">
      <formula>80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E4E1-2AA4-472E-AB60-AEC495A043B4}">
  <dimension ref="A1:AB33"/>
  <sheetViews>
    <sheetView tabSelected="1" topLeftCell="G1" zoomScale="85" zoomScaleNormal="85" workbookViewId="0">
      <selection activeCell="V2" sqref="V2"/>
    </sheetView>
  </sheetViews>
  <sheetFormatPr defaultRowHeight="15" x14ac:dyDescent="0.25"/>
  <cols>
    <col min="1" max="1" width="6.42578125" bestFit="1" customWidth="1"/>
    <col min="2" max="2" width="6.42578125" style="10" bestFit="1" customWidth="1"/>
    <col min="3" max="4" width="11.140625" bestFit="1" customWidth="1"/>
    <col min="5" max="5" width="16" bestFit="1" customWidth="1"/>
    <col min="6" max="6" width="11.140625" bestFit="1" customWidth="1"/>
    <col min="7" max="7" width="9.42578125" bestFit="1" customWidth="1"/>
    <col min="8" max="8" width="23.140625" bestFit="1" customWidth="1"/>
    <col min="9" max="9" width="17.5703125" bestFit="1" customWidth="1"/>
    <col min="10" max="10" width="11.5703125" bestFit="1" customWidth="1"/>
    <col min="11" max="11" width="13.140625" bestFit="1" customWidth="1"/>
    <col min="12" max="12" width="10.42578125" bestFit="1" customWidth="1"/>
    <col min="13" max="13" width="40" bestFit="1" customWidth="1"/>
    <col min="14" max="14" width="21.140625" bestFit="1" customWidth="1"/>
    <col min="15" max="15" width="36.85546875" bestFit="1" customWidth="1"/>
    <col min="16" max="16" width="23.7109375" bestFit="1" customWidth="1"/>
    <col min="17" max="17" width="17.7109375" bestFit="1" customWidth="1"/>
    <col min="18" max="18" width="8.140625" bestFit="1" customWidth="1"/>
    <col min="19" max="19" width="10.42578125" bestFit="1" customWidth="1"/>
    <col min="20" max="20" width="22.85546875" bestFit="1" customWidth="1"/>
    <col min="21" max="21" width="10.140625" bestFit="1" customWidth="1"/>
    <col min="22" max="22" width="31.85546875" bestFit="1" customWidth="1"/>
    <col min="23" max="25" width="7.5703125" bestFit="1" customWidth="1"/>
    <col min="26" max="28" width="4.5703125" bestFit="1" customWidth="1"/>
  </cols>
  <sheetData>
    <row r="1" spans="1:28" x14ac:dyDescent="0.25">
      <c r="C1" s="2">
        <v>46135</v>
      </c>
      <c r="D1" s="2">
        <v>46128</v>
      </c>
      <c r="E1" s="2"/>
      <c r="F1" s="2">
        <v>46133</v>
      </c>
      <c r="G1" s="2"/>
      <c r="H1" s="2">
        <v>46137</v>
      </c>
      <c r="I1" s="2"/>
      <c r="J1" s="3">
        <v>46163</v>
      </c>
      <c r="K1" s="3">
        <v>46166</v>
      </c>
      <c r="L1" s="3"/>
      <c r="M1" s="3"/>
      <c r="N1" s="3"/>
      <c r="O1" s="3"/>
      <c r="P1" s="3">
        <v>46166</v>
      </c>
      <c r="Q1" s="3"/>
      <c r="R1" s="4">
        <v>46180</v>
      </c>
      <c r="S1" s="4"/>
      <c r="T1" s="4"/>
      <c r="U1" s="4"/>
    </row>
    <row r="2" spans="1:28" x14ac:dyDescent="0.25">
      <c r="A2" s="25" t="s">
        <v>0</v>
      </c>
      <c r="B2" s="26" t="s">
        <v>1</v>
      </c>
      <c r="C2" s="27" t="s">
        <v>61</v>
      </c>
      <c r="D2" s="27" t="s">
        <v>60</v>
      </c>
      <c r="E2" s="30" t="s">
        <v>59</v>
      </c>
      <c r="F2" s="27" t="s">
        <v>62</v>
      </c>
      <c r="G2" s="30" t="s">
        <v>48</v>
      </c>
      <c r="H2" s="28" t="s">
        <v>63</v>
      </c>
      <c r="I2" s="30" t="s">
        <v>57</v>
      </c>
      <c r="J2" s="28" t="s">
        <v>64</v>
      </c>
      <c r="K2" s="28" t="s">
        <v>66</v>
      </c>
      <c r="L2" s="30" t="s">
        <v>49</v>
      </c>
      <c r="M2" s="30" t="s">
        <v>46</v>
      </c>
      <c r="N2" s="30" t="s">
        <v>50</v>
      </c>
      <c r="O2" s="30" t="s">
        <v>51</v>
      </c>
      <c r="P2" s="28" t="s">
        <v>65</v>
      </c>
      <c r="Q2" s="30" t="s">
        <v>58</v>
      </c>
      <c r="R2" s="29" t="s">
        <v>8</v>
      </c>
      <c r="S2" s="30" t="s">
        <v>47</v>
      </c>
      <c r="T2" s="29" t="s">
        <v>53</v>
      </c>
      <c r="U2" s="30" t="s">
        <v>52</v>
      </c>
      <c r="V2" s="29" t="s">
        <v>10</v>
      </c>
      <c r="W2" s="29" t="s">
        <v>54</v>
      </c>
      <c r="X2" s="29" t="s">
        <v>55</v>
      </c>
      <c r="Y2" s="29" t="s">
        <v>56</v>
      </c>
      <c r="Z2" s="29" t="s">
        <v>14</v>
      </c>
      <c r="AA2" s="29" t="s">
        <v>15</v>
      </c>
      <c r="AB2" s="29" t="s">
        <v>16</v>
      </c>
    </row>
    <row r="3" spans="1:28" x14ac:dyDescent="0.25">
      <c r="A3" s="21">
        <v>1</v>
      </c>
      <c r="B3" s="12" t="s">
        <v>17</v>
      </c>
      <c r="C3" s="13">
        <v>3.0671296296296297E-3</v>
      </c>
      <c r="D3" s="17">
        <v>6.8865740740740745E-3</v>
      </c>
      <c r="E3" s="13">
        <f>D3/2</f>
        <v>3.4432870370370372E-3</v>
      </c>
      <c r="F3" s="13">
        <v>1.0729166666666666E-2</v>
      </c>
      <c r="G3" s="13">
        <f>F3/3</f>
        <v>3.5763888888888889E-3</v>
      </c>
      <c r="H3" s="14">
        <v>3.5069444444444445E-3</v>
      </c>
      <c r="I3" s="43">
        <f>(H3/C3)-1</f>
        <v>0.14339622641509431</v>
      </c>
      <c r="J3" s="39">
        <v>3.2175925925925926E-3</v>
      </c>
      <c r="K3" s="39">
        <v>8.4560185185185183E-2</v>
      </c>
      <c r="L3" s="39">
        <f>K3/21</f>
        <v>4.0266754850088182E-3</v>
      </c>
      <c r="M3" s="15">
        <f>L3*42</f>
        <v>0.16912037037037037</v>
      </c>
      <c r="N3" s="35">
        <f t="shared" ref="N3:N31" si="0">ABS(R3-M3)</f>
        <v>9.3749999999999944E-3</v>
      </c>
      <c r="O3" s="33">
        <f t="shared" ref="O3:O31" si="1">(M3/R3)-1</f>
        <v>-5.2522370639346394E-2</v>
      </c>
      <c r="P3" s="37">
        <v>3.5300925925925925E-3</v>
      </c>
      <c r="Q3" s="42">
        <f>(P3/J3)-1</f>
        <v>9.7122302158273222E-2</v>
      </c>
      <c r="R3" s="17">
        <v>0.17849537037037036</v>
      </c>
      <c r="S3" s="17">
        <f>R3/42</f>
        <v>4.249889770723104E-3</v>
      </c>
      <c r="T3" s="18">
        <v>406</v>
      </c>
      <c r="U3" s="18">
        <f>T3/(V3/100)</f>
        <v>408</v>
      </c>
      <c r="V3" s="36">
        <v>99.509803921568633</v>
      </c>
      <c r="W3" s="9">
        <v>322</v>
      </c>
      <c r="X3" s="9">
        <v>26</v>
      </c>
      <c r="Y3" s="9">
        <v>58</v>
      </c>
      <c r="Z3" s="9">
        <v>79.310344827586206</v>
      </c>
      <c r="AA3" s="9">
        <v>6.403940886699508</v>
      </c>
      <c r="AB3" s="9">
        <v>14.285714285714285</v>
      </c>
    </row>
    <row r="4" spans="1:28" x14ac:dyDescent="0.25">
      <c r="A4" s="21">
        <v>1</v>
      </c>
      <c r="B4" s="12" t="s">
        <v>18</v>
      </c>
      <c r="C4" s="13">
        <v>2.9861111111111113E-3</v>
      </c>
      <c r="D4" s="17">
        <v>6.1111111111111114E-3</v>
      </c>
      <c r="E4" s="13">
        <f t="shared" ref="E4:E31" si="2">D4/2</f>
        <v>3.0555555555555557E-3</v>
      </c>
      <c r="F4" s="13">
        <v>9.3749999999999997E-3</v>
      </c>
      <c r="G4" s="13">
        <f t="shared" ref="G4:G31" si="3">F4/3</f>
        <v>3.1249999999999997E-3</v>
      </c>
      <c r="H4" s="14">
        <v>3.1712962962962962E-3</v>
      </c>
      <c r="I4" s="43">
        <f t="shared" ref="I4:I31" si="4">(H4/C4)-1</f>
        <v>6.201550387596888E-2</v>
      </c>
      <c r="J4" s="39">
        <v>2.8819444444444444E-3</v>
      </c>
      <c r="K4" s="39">
        <v>6.8275462962962968E-2</v>
      </c>
      <c r="L4" s="39">
        <f t="shared" ref="L4:L31" si="5">K4/21</f>
        <v>3.2512125220458556E-3</v>
      </c>
      <c r="M4" s="15">
        <f t="shared" ref="M4:M31" si="6">L4*42</f>
        <v>0.13655092592592594</v>
      </c>
      <c r="N4" s="35">
        <f t="shared" si="0"/>
        <v>1.9050925925925916E-2</v>
      </c>
      <c r="O4" s="33">
        <f t="shared" si="1"/>
        <v>-0.12243379946444499</v>
      </c>
      <c r="P4" s="37">
        <v>3.2291666666666666E-3</v>
      </c>
      <c r="Q4" s="42">
        <f t="shared" ref="Q4:Q31" si="7">(P4/J4)-1</f>
        <v>0.12048192771084332</v>
      </c>
      <c r="R4" s="17">
        <v>0.15560185185185185</v>
      </c>
      <c r="S4" s="17">
        <f t="shared" ref="S4:S31" si="8">R4/42</f>
        <v>3.7048059964726633E-3</v>
      </c>
      <c r="T4" s="18">
        <v>407</v>
      </c>
      <c r="U4" s="18">
        <f t="shared" ref="U4:U31" si="9">T4/(V4/100)</f>
        <v>408</v>
      </c>
      <c r="V4" s="36">
        <v>99.754901960784309</v>
      </c>
      <c r="W4" s="9">
        <v>323</v>
      </c>
      <c r="X4" s="9">
        <v>26</v>
      </c>
      <c r="Y4" s="9">
        <v>58</v>
      </c>
      <c r="Z4" s="9">
        <v>79.361179361179353</v>
      </c>
      <c r="AA4" s="9">
        <v>6.3882063882063882</v>
      </c>
      <c r="AB4" s="9">
        <v>14.250614250614252</v>
      </c>
    </row>
    <row r="5" spans="1:28" x14ac:dyDescent="0.25">
      <c r="A5" s="21">
        <v>1</v>
      </c>
      <c r="B5" s="12" t="s">
        <v>19</v>
      </c>
      <c r="C5" s="13">
        <v>3.2523148148148147E-3</v>
      </c>
      <c r="D5" s="17">
        <v>6.7129629629629631E-3</v>
      </c>
      <c r="E5" s="13">
        <f t="shared" si="2"/>
        <v>3.3564814814814816E-3</v>
      </c>
      <c r="F5" s="13">
        <v>9.8148148148148144E-3</v>
      </c>
      <c r="G5" s="13">
        <f t="shared" si="3"/>
        <v>3.2716049382716049E-3</v>
      </c>
      <c r="H5" s="14">
        <v>3.425925925925926E-3</v>
      </c>
      <c r="I5" s="43">
        <f t="shared" si="4"/>
        <v>5.3380782918149627E-2</v>
      </c>
      <c r="J5" s="39">
        <v>3.2407407407407406E-3</v>
      </c>
      <c r="K5" s="39">
        <v>8.1493055555555555E-2</v>
      </c>
      <c r="L5" s="39">
        <f t="shared" si="5"/>
        <v>3.8806216931216932E-3</v>
      </c>
      <c r="M5" s="15">
        <f t="shared" si="6"/>
        <v>0.16298611111111111</v>
      </c>
      <c r="N5" s="35">
        <f t="shared" si="0"/>
        <v>9.5833333333333326E-3</v>
      </c>
      <c r="O5" s="33">
        <f t="shared" si="1"/>
        <v>-5.5533199195170968E-2</v>
      </c>
      <c r="P5" s="37">
        <v>3.1481481481481482E-3</v>
      </c>
      <c r="Q5" s="42">
        <f t="shared" si="7"/>
        <v>-2.8571428571428581E-2</v>
      </c>
      <c r="R5" s="17">
        <v>0.17256944444444444</v>
      </c>
      <c r="S5" s="17">
        <f t="shared" si="8"/>
        <v>4.1087962962962962E-3</v>
      </c>
      <c r="T5" s="18">
        <v>409</v>
      </c>
      <c r="U5" s="18">
        <f t="shared" si="9"/>
        <v>408</v>
      </c>
      <c r="V5" s="36">
        <v>100.24509803921569</v>
      </c>
      <c r="W5" s="9">
        <v>325</v>
      </c>
      <c r="X5" s="9">
        <v>26</v>
      </c>
      <c r="Y5" s="9">
        <v>58</v>
      </c>
      <c r="Z5" s="9">
        <v>79.462102689486557</v>
      </c>
      <c r="AA5" s="9">
        <v>6.3569682151589246</v>
      </c>
      <c r="AB5" s="9">
        <v>14.180929095354522</v>
      </c>
    </row>
    <row r="6" spans="1:28" x14ac:dyDescent="0.25">
      <c r="A6" s="21">
        <v>1</v>
      </c>
      <c r="B6" s="12" t="s">
        <v>20</v>
      </c>
      <c r="C6" s="13">
        <v>2.2106481481481482E-3</v>
      </c>
      <c r="D6" s="17">
        <v>4.8495370370370368E-3</v>
      </c>
      <c r="E6" s="13">
        <f t="shared" si="2"/>
        <v>2.4247685185185184E-3</v>
      </c>
      <c r="F6" s="13">
        <v>7.6041666666666671E-3</v>
      </c>
      <c r="G6" s="13">
        <f t="shared" si="3"/>
        <v>2.5347222222222225E-3</v>
      </c>
      <c r="H6" s="14">
        <v>2.5925925925925925E-3</v>
      </c>
      <c r="I6" s="43">
        <f t="shared" si="4"/>
        <v>0.17277486910994755</v>
      </c>
      <c r="J6" s="39">
        <v>2.3263888888888887E-3</v>
      </c>
      <c r="K6" s="39">
        <v>5.8611111111111114E-2</v>
      </c>
      <c r="L6" s="39">
        <f t="shared" si="5"/>
        <v>2.7910052910052911E-3</v>
      </c>
      <c r="M6" s="15">
        <f t="shared" si="6"/>
        <v>0.11722222222222223</v>
      </c>
      <c r="N6" s="35">
        <f t="shared" si="0"/>
        <v>8.1018518518518601E-3</v>
      </c>
      <c r="O6" s="33">
        <f t="shared" si="1"/>
        <v>-6.4647210934614008E-2</v>
      </c>
      <c r="P6" s="37">
        <v>2.5231481481481481E-3</v>
      </c>
      <c r="Q6" s="42">
        <f t="shared" si="7"/>
        <v>8.4577114427860645E-2</v>
      </c>
      <c r="R6" s="17">
        <v>0.12532407407407409</v>
      </c>
      <c r="S6" s="17">
        <f t="shared" si="8"/>
        <v>2.9839065255731928E-3</v>
      </c>
      <c r="T6" s="18">
        <v>524</v>
      </c>
      <c r="U6" s="18">
        <f t="shared" si="9"/>
        <v>523</v>
      </c>
      <c r="V6" s="36">
        <v>100.19120458891013</v>
      </c>
      <c r="W6" s="9">
        <v>418</v>
      </c>
      <c r="X6" s="9">
        <v>34</v>
      </c>
      <c r="Y6" s="9">
        <v>72</v>
      </c>
      <c r="Z6" s="9">
        <v>79.770992366412216</v>
      </c>
      <c r="AA6" s="9">
        <v>6.4885496183206106</v>
      </c>
      <c r="AB6" s="9">
        <v>13.740458015267176</v>
      </c>
    </row>
    <row r="7" spans="1:28" x14ac:dyDescent="0.25">
      <c r="A7" s="21">
        <v>1</v>
      </c>
      <c r="B7" s="12" t="s">
        <v>21</v>
      </c>
      <c r="C7" s="13">
        <v>3.1365740740740742E-3</v>
      </c>
      <c r="D7" s="17">
        <v>6.4236111111111108E-3</v>
      </c>
      <c r="E7" s="13">
        <f t="shared" si="2"/>
        <v>3.2118055555555554E-3</v>
      </c>
      <c r="F7" s="13">
        <v>9.8958333333333329E-3</v>
      </c>
      <c r="G7" s="13">
        <f t="shared" si="3"/>
        <v>3.2986111111111111E-3</v>
      </c>
      <c r="H7" s="14">
        <v>3.4375E-3</v>
      </c>
      <c r="I7" s="43">
        <f t="shared" si="4"/>
        <v>9.5940959409594129E-2</v>
      </c>
      <c r="J7" s="39">
        <v>3.0439814814814813E-3</v>
      </c>
      <c r="K7" s="40">
        <v>7.7187500000000006E-2</v>
      </c>
      <c r="L7" s="39">
        <f t="shared" si="5"/>
        <v>3.6755952380952382E-3</v>
      </c>
      <c r="M7" s="15">
        <f t="shared" si="6"/>
        <v>0.15437500000000001</v>
      </c>
      <c r="N7" s="35">
        <f t="shared" si="0"/>
        <v>1.5289351851851846E-2</v>
      </c>
      <c r="O7" s="33">
        <f t="shared" si="1"/>
        <v>-9.0115287536666866E-2</v>
      </c>
      <c r="P7" s="37">
        <v>3.3449074074074076E-3</v>
      </c>
      <c r="Q7" s="42">
        <f t="shared" si="7"/>
        <v>9.8859315589353791E-2</v>
      </c>
      <c r="R7" s="17">
        <v>0.16966435185185186</v>
      </c>
      <c r="S7" s="17">
        <f t="shared" si="8"/>
        <v>4.0396274250440916E-3</v>
      </c>
      <c r="T7" s="18">
        <v>367</v>
      </c>
      <c r="U7" s="18">
        <f t="shared" si="9"/>
        <v>408</v>
      </c>
      <c r="V7" s="36">
        <v>89.950980392156865</v>
      </c>
      <c r="W7" s="9">
        <v>316</v>
      </c>
      <c r="X7" s="9">
        <v>22</v>
      </c>
      <c r="Y7" s="9">
        <v>29</v>
      </c>
      <c r="Z7" s="9">
        <v>86.103542234332423</v>
      </c>
      <c r="AA7" s="9">
        <v>5.9945504087193457</v>
      </c>
      <c r="AB7" s="9">
        <v>7.9019073569482288</v>
      </c>
    </row>
    <row r="8" spans="1:28" x14ac:dyDescent="0.25">
      <c r="A8" s="21">
        <v>1</v>
      </c>
      <c r="B8" s="12" t="s">
        <v>22</v>
      </c>
      <c r="C8" s="13">
        <v>2.8703703703703703E-3</v>
      </c>
      <c r="D8" s="17">
        <v>6.4814814814814813E-3</v>
      </c>
      <c r="E8" s="13">
        <f t="shared" si="2"/>
        <v>3.2407407407407406E-3</v>
      </c>
      <c r="F8" s="13">
        <v>9.8263888888888897E-3</v>
      </c>
      <c r="G8" s="13">
        <f t="shared" si="3"/>
        <v>3.2754629629629631E-3</v>
      </c>
      <c r="H8" s="14">
        <v>2.9861111111111113E-3</v>
      </c>
      <c r="I8" s="43">
        <f t="shared" si="4"/>
        <v>4.0322580645161255E-2</v>
      </c>
      <c r="J8" s="39">
        <v>2.8587962962962963E-3</v>
      </c>
      <c r="K8" s="39">
        <v>7.3888888888888893E-2</v>
      </c>
      <c r="L8" s="39">
        <f t="shared" si="5"/>
        <v>3.5185185185185189E-3</v>
      </c>
      <c r="M8" s="15">
        <f t="shared" si="6"/>
        <v>0.14777777777777779</v>
      </c>
      <c r="N8" s="35">
        <f t="shared" si="0"/>
        <v>6.2500000000000056E-3</v>
      </c>
      <c r="O8" s="33">
        <f t="shared" si="1"/>
        <v>-4.0577096483318309E-2</v>
      </c>
      <c r="P8" s="37">
        <v>2.9513888888888888E-3</v>
      </c>
      <c r="Q8" s="42">
        <f t="shared" si="7"/>
        <v>3.2388663967611198E-2</v>
      </c>
      <c r="R8" s="17">
        <v>0.15402777777777779</v>
      </c>
      <c r="S8" s="17">
        <f t="shared" si="8"/>
        <v>3.6673280423280426E-3</v>
      </c>
      <c r="T8" s="18">
        <v>408</v>
      </c>
      <c r="U8" s="18">
        <f t="shared" si="9"/>
        <v>408</v>
      </c>
      <c r="V8" s="36">
        <v>100</v>
      </c>
      <c r="W8" s="9">
        <v>324</v>
      </c>
      <c r="X8" s="9">
        <v>26</v>
      </c>
      <c r="Y8" s="9">
        <v>58</v>
      </c>
      <c r="Z8" s="9">
        <v>79.411764705882348</v>
      </c>
      <c r="AA8" s="9">
        <v>6.3725490196078427</v>
      </c>
      <c r="AB8" s="9">
        <v>14.215686274509803</v>
      </c>
    </row>
    <row r="9" spans="1:28" x14ac:dyDescent="0.25">
      <c r="A9" s="21">
        <v>1</v>
      </c>
      <c r="B9" s="12" t="s">
        <v>23</v>
      </c>
      <c r="C9" s="13">
        <v>2.3842592592592591E-3</v>
      </c>
      <c r="D9" s="17">
        <v>5.0000000000000001E-3</v>
      </c>
      <c r="E9" s="13">
        <f t="shared" si="2"/>
        <v>2.5000000000000001E-3</v>
      </c>
      <c r="F9" s="13">
        <v>7.2685185185185188E-3</v>
      </c>
      <c r="G9" s="13">
        <f t="shared" si="3"/>
        <v>2.4228395061728397E-3</v>
      </c>
      <c r="H9" s="14">
        <v>2.6157407407407405E-3</v>
      </c>
      <c r="I9" s="43">
        <f t="shared" si="4"/>
        <v>9.7087378640776656E-2</v>
      </c>
      <c r="J9" s="39">
        <v>2.5000000000000001E-3</v>
      </c>
      <c r="K9" s="39">
        <v>6.2337962962962963E-2</v>
      </c>
      <c r="L9" s="39">
        <f t="shared" si="5"/>
        <v>2.9684744268077602E-3</v>
      </c>
      <c r="M9" s="15">
        <f t="shared" si="6"/>
        <v>0.12467592592592593</v>
      </c>
      <c r="N9" s="35">
        <f t="shared" si="0"/>
        <v>1.1076388888888886E-2</v>
      </c>
      <c r="O9" s="33">
        <f t="shared" si="1"/>
        <v>-8.159263364310676E-2</v>
      </c>
      <c r="P9" s="37">
        <v>2.662037037037037E-3</v>
      </c>
      <c r="Q9" s="42">
        <f t="shared" si="7"/>
        <v>6.4814814814814659E-2</v>
      </c>
      <c r="R9" s="17">
        <v>0.13575231481481481</v>
      </c>
      <c r="S9" s="17">
        <f t="shared" si="8"/>
        <v>3.2321979717813052E-3</v>
      </c>
      <c r="T9" s="18">
        <v>521</v>
      </c>
      <c r="U9" s="18">
        <f t="shared" si="9"/>
        <v>523</v>
      </c>
      <c r="V9" s="36">
        <v>99.617590822179736</v>
      </c>
      <c r="W9" s="9">
        <v>413</v>
      </c>
      <c r="X9" s="9">
        <v>36</v>
      </c>
      <c r="Y9" s="9">
        <v>72</v>
      </c>
      <c r="Z9" s="9">
        <v>79.270633397312864</v>
      </c>
      <c r="AA9" s="9">
        <v>6.90978886756238</v>
      </c>
      <c r="AB9" s="9">
        <v>13.81957773512476</v>
      </c>
    </row>
    <row r="10" spans="1:28" x14ac:dyDescent="0.25">
      <c r="A10" s="21">
        <v>1</v>
      </c>
      <c r="B10" s="12" t="s">
        <v>24</v>
      </c>
      <c r="C10" s="13">
        <v>2.8587962962962963E-3</v>
      </c>
      <c r="D10" s="17">
        <v>6.145833333333333E-3</v>
      </c>
      <c r="E10" s="13">
        <f t="shared" si="2"/>
        <v>3.0729166666666665E-3</v>
      </c>
      <c r="F10" s="13">
        <v>9.1435185185185178E-3</v>
      </c>
      <c r="G10" s="13">
        <f t="shared" si="3"/>
        <v>3.0478395061728394E-3</v>
      </c>
      <c r="H10" s="14">
        <v>2.9282407407407408E-3</v>
      </c>
      <c r="I10" s="43">
        <f t="shared" si="4"/>
        <v>2.4291497975708509E-2</v>
      </c>
      <c r="J10" s="39">
        <v>2.9861111111111113E-3</v>
      </c>
      <c r="K10" s="39">
        <v>7.5011574074074078E-2</v>
      </c>
      <c r="L10" s="39">
        <f t="shared" si="5"/>
        <v>3.5719797178130515E-3</v>
      </c>
      <c r="M10" s="15">
        <f t="shared" si="6"/>
        <v>0.15002314814814816</v>
      </c>
      <c r="N10" s="35">
        <f t="shared" si="0"/>
        <v>5.3819444444444253E-3</v>
      </c>
      <c r="O10" s="33">
        <f t="shared" si="1"/>
        <v>-3.4631712221642852E-2</v>
      </c>
      <c r="P10" s="37">
        <v>3.1828703703703702E-3</v>
      </c>
      <c r="Q10" s="42">
        <f t="shared" si="7"/>
        <v>6.5891472868216949E-2</v>
      </c>
      <c r="R10" s="17">
        <v>0.15540509259259258</v>
      </c>
      <c r="S10" s="17">
        <f t="shared" si="8"/>
        <v>3.7001212522045851E-3</v>
      </c>
      <c r="T10" s="18">
        <v>399</v>
      </c>
      <c r="U10" s="18">
        <f t="shared" si="9"/>
        <v>407.99999999999994</v>
      </c>
      <c r="V10" s="36">
        <v>97.794117647058826</v>
      </c>
      <c r="W10" s="9">
        <v>325</v>
      </c>
      <c r="X10" s="9">
        <v>26</v>
      </c>
      <c r="Y10" s="9">
        <v>48</v>
      </c>
      <c r="Z10" s="9">
        <v>81.453634085213039</v>
      </c>
      <c r="AA10" s="9">
        <v>6.5162907268170418</v>
      </c>
      <c r="AB10" s="9">
        <v>12.030075187969924</v>
      </c>
    </row>
    <row r="11" spans="1:28" x14ac:dyDescent="0.25">
      <c r="A11" s="21">
        <v>1</v>
      </c>
      <c r="B11" s="12" t="s">
        <v>25</v>
      </c>
      <c r="C11" s="13">
        <v>2.3611111111111111E-3</v>
      </c>
      <c r="D11" s="17">
        <v>5.2893518518518515E-3</v>
      </c>
      <c r="E11" s="13">
        <f t="shared" si="2"/>
        <v>2.6446759259259258E-3</v>
      </c>
      <c r="F11" s="13">
        <v>8.1481481481481474E-3</v>
      </c>
      <c r="G11" s="13">
        <f t="shared" si="3"/>
        <v>2.7160493827160493E-3</v>
      </c>
      <c r="H11" s="14">
        <v>2.627314814814815E-3</v>
      </c>
      <c r="I11" s="43">
        <f t="shared" si="4"/>
        <v>0.11274509803921573</v>
      </c>
      <c r="J11" s="39">
        <v>2.2916666666666667E-3</v>
      </c>
      <c r="K11" s="39">
        <v>6.3425925925925927E-2</v>
      </c>
      <c r="L11" s="39">
        <f t="shared" si="5"/>
        <v>3.0202821869488535E-3</v>
      </c>
      <c r="M11" s="15">
        <f t="shared" si="6"/>
        <v>0.12685185185185185</v>
      </c>
      <c r="N11" s="35">
        <f t="shared" si="0"/>
        <v>5.5324074074074026E-3</v>
      </c>
      <c r="O11" s="33">
        <f t="shared" si="1"/>
        <v>-4.1790522818674569E-2</v>
      </c>
      <c r="P11" s="37">
        <v>2.7662037037037039E-3</v>
      </c>
      <c r="Q11" s="42">
        <f t="shared" si="7"/>
        <v>0.20707070707070718</v>
      </c>
      <c r="R11" s="17">
        <v>0.13238425925925926</v>
      </c>
      <c r="S11" s="17">
        <f t="shared" si="8"/>
        <v>3.1520061728395063E-3</v>
      </c>
      <c r="T11" s="18">
        <v>402</v>
      </c>
      <c r="U11" s="18">
        <f t="shared" si="9"/>
        <v>408</v>
      </c>
      <c r="V11" s="36">
        <v>98.529411764705884</v>
      </c>
      <c r="W11" s="9">
        <v>318</v>
      </c>
      <c r="X11" s="9">
        <v>26</v>
      </c>
      <c r="Y11" s="9">
        <v>58</v>
      </c>
      <c r="Z11" s="9">
        <v>79.104477611940297</v>
      </c>
      <c r="AA11" s="9">
        <v>6.467661691542288</v>
      </c>
      <c r="AB11" s="9">
        <v>14.427860696517413</v>
      </c>
    </row>
    <row r="12" spans="1:28" x14ac:dyDescent="0.25">
      <c r="A12" s="21">
        <v>1</v>
      </c>
      <c r="B12" s="12" t="s">
        <v>26</v>
      </c>
      <c r="C12" s="13">
        <v>2.1412037037037038E-3</v>
      </c>
      <c r="D12" s="17">
        <v>4.7337962962962967E-3</v>
      </c>
      <c r="E12" s="13">
        <f t="shared" si="2"/>
        <v>2.3668981481481484E-3</v>
      </c>
      <c r="F12" s="13">
        <v>7.6620370370370366E-3</v>
      </c>
      <c r="G12" s="13">
        <f t="shared" si="3"/>
        <v>2.5540123456790124E-3</v>
      </c>
      <c r="H12" s="14">
        <v>2.5578703703703705E-3</v>
      </c>
      <c r="I12" s="43">
        <f t="shared" si="4"/>
        <v>0.19459459459459461</v>
      </c>
      <c r="J12" s="39">
        <v>2.2800925925925927E-3</v>
      </c>
      <c r="K12" s="39">
        <v>6.1215277777777778E-2</v>
      </c>
      <c r="L12" s="39">
        <f t="shared" si="5"/>
        <v>2.9150132275132276E-3</v>
      </c>
      <c r="M12" s="15">
        <f t="shared" si="6"/>
        <v>0.12243055555555556</v>
      </c>
      <c r="N12" s="35">
        <f t="shared" si="0"/>
        <v>5.1504629629629678E-3</v>
      </c>
      <c r="O12" s="33">
        <f t="shared" si="1"/>
        <v>-4.0370135171913346E-2</v>
      </c>
      <c r="P12" s="37">
        <v>2.662037037037037E-3</v>
      </c>
      <c r="Q12" s="42">
        <f t="shared" si="7"/>
        <v>0.1675126903553299</v>
      </c>
      <c r="R12" s="17">
        <v>0.12758101851851852</v>
      </c>
      <c r="S12" s="17">
        <f t="shared" si="8"/>
        <v>3.0376432980599648E-3</v>
      </c>
      <c r="T12" s="18">
        <v>476</v>
      </c>
      <c r="U12" s="18">
        <f t="shared" si="9"/>
        <v>523</v>
      </c>
      <c r="V12" s="36">
        <v>91.013384321223711</v>
      </c>
      <c r="W12" s="9">
        <v>396</v>
      </c>
      <c r="X12" s="9">
        <v>24</v>
      </c>
      <c r="Y12" s="9">
        <v>56</v>
      </c>
      <c r="Z12" s="9">
        <v>83.193277310924373</v>
      </c>
      <c r="AA12" s="9">
        <v>5.0420168067226889</v>
      </c>
      <c r="AB12" s="9">
        <v>11.76470588235294</v>
      </c>
    </row>
    <row r="13" spans="1:28" x14ac:dyDescent="0.25">
      <c r="A13" s="21">
        <v>1</v>
      </c>
      <c r="B13" s="12" t="s">
        <v>27</v>
      </c>
      <c r="C13" s="13">
        <v>2.5000000000000001E-3</v>
      </c>
      <c r="D13" s="17">
        <v>5.0694444444444441E-3</v>
      </c>
      <c r="E13" s="13">
        <f t="shared" si="2"/>
        <v>2.5347222222222221E-3</v>
      </c>
      <c r="F13" s="13">
        <v>8.0208333333333329E-3</v>
      </c>
      <c r="G13" s="13">
        <f t="shared" si="3"/>
        <v>2.673611111111111E-3</v>
      </c>
      <c r="H13" s="14">
        <v>2.5810185185185185E-3</v>
      </c>
      <c r="I13" s="43">
        <f t="shared" si="4"/>
        <v>3.240740740740744E-2</v>
      </c>
      <c r="J13" s="39">
        <v>2.3495370370370371E-3</v>
      </c>
      <c r="K13" s="39">
        <v>6.232638888888889E-2</v>
      </c>
      <c r="L13" s="39">
        <f t="shared" si="5"/>
        <v>2.9679232804232804E-3</v>
      </c>
      <c r="M13" s="15">
        <f t="shared" si="6"/>
        <v>0.12465277777777778</v>
      </c>
      <c r="N13" s="35">
        <f t="shared" si="0"/>
        <v>6.3773148148148218E-3</v>
      </c>
      <c r="O13" s="33">
        <f t="shared" si="1"/>
        <v>-4.8670612136737068E-2</v>
      </c>
      <c r="P13" s="37">
        <v>2.662037037037037E-3</v>
      </c>
      <c r="Q13" s="42">
        <f t="shared" si="7"/>
        <v>0.13300492610837433</v>
      </c>
      <c r="R13" s="17">
        <v>0.1310300925925926</v>
      </c>
      <c r="S13" s="17">
        <f t="shared" si="8"/>
        <v>3.1197641093474427E-3</v>
      </c>
      <c r="T13" s="18">
        <v>477</v>
      </c>
      <c r="U13" s="18">
        <f t="shared" si="9"/>
        <v>522.99999999999989</v>
      </c>
      <c r="V13" s="36">
        <v>91.20458891013385</v>
      </c>
      <c r="W13" s="9">
        <v>387</v>
      </c>
      <c r="X13" s="9">
        <v>34</v>
      </c>
      <c r="Y13" s="9">
        <v>56</v>
      </c>
      <c r="Z13" s="9">
        <v>81.132075471698116</v>
      </c>
      <c r="AA13" s="9">
        <v>7.1278825995807118</v>
      </c>
      <c r="AB13" s="9">
        <v>11.740041928721174</v>
      </c>
    </row>
    <row r="14" spans="1:28" x14ac:dyDescent="0.25">
      <c r="A14" s="21">
        <v>1</v>
      </c>
      <c r="B14" s="12" t="s">
        <v>28</v>
      </c>
      <c r="C14" s="13">
        <v>3.0555555555555557E-3</v>
      </c>
      <c r="D14" s="17">
        <v>6.5509259259259262E-3</v>
      </c>
      <c r="E14" s="13">
        <f t="shared" si="2"/>
        <v>3.2754629629629631E-3</v>
      </c>
      <c r="F14" s="13">
        <v>9.9768518518518513E-3</v>
      </c>
      <c r="G14" s="13">
        <f t="shared" si="3"/>
        <v>3.3256172839506173E-3</v>
      </c>
      <c r="H14" s="14">
        <v>3.2175925925925926E-3</v>
      </c>
      <c r="I14" s="43">
        <f t="shared" si="4"/>
        <v>5.3030303030302983E-2</v>
      </c>
      <c r="J14" s="39">
        <v>3.1018518518518517E-3</v>
      </c>
      <c r="K14" s="39">
        <v>8.0335648148148142E-2</v>
      </c>
      <c r="L14" s="39">
        <f t="shared" si="5"/>
        <v>3.825507054673721E-3</v>
      </c>
      <c r="M14" s="15">
        <f t="shared" si="6"/>
        <v>0.16067129629629628</v>
      </c>
      <c r="N14" s="35">
        <f t="shared" si="0"/>
        <v>6.7592592592592704E-3</v>
      </c>
      <c r="O14" s="33">
        <f t="shared" si="1"/>
        <v>-4.0370523987280582E-2</v>
      </c>
      <c r="P14" s="37">
        <v>3.0439814814814813E-3</v>
      </c>
      <c r="Q14" s="42">
        <f t="shared" si="7"/>
        <v>-1.8656716417910446E-2</v>
      </c>
      <c r="R14" s="17">
        <v>0.16743055555555555</v>
      </c>
      <c r="S14" s="17">
        <f t="shared" si="8"/>
        <v>3.9864417989417993E-3</v>
      </c>
      <c r="T14" s="18">
        <v>355</v>
      </c>
      <c r="U14" s="18">
        <f t="shared" si="9"/>
        <v>408</v>
      </c>
      <c r="V14" s="36">
        <v>87.009803921568633</v>
      </c>
      <c r="W14" s="9">
        <v>286</v>
      </c>
      <c r="X14" s="9">
        <v>26</v>
      </c>
      <c r="Y14" s="9">
        <v>43</v>
      </c>
      <c r="Z14" s="9">
        <v>80.563380281690144</v>
      </c>
      <c r="AA14" s="9">
        <v>7.323943661971831</v>
      </c>
      <c r="AB14" s="9">
        <v>12.112676056338028</v>
      </c>
    </row>
    <row r="15" spans="1:28" x14ac:dyDescent="0.25">
      <c r="A15" s="21">
        <v>1</v>
      </c>
      <c r="B15" s="12" t="s">
        <v>29</v>
      </c>
      <c r="C15" s="13">
        <v>2.3495370370370371E-3</v>
      </c>
      <c r="D15" s="17">
        <v>4.7800925925925927E-3</v>
      </c>
      <c r="E15" s="13">
        <f t="shared" si="2"/>
        <v>2.3900462962962964E-3</v>
      </c>
      <c r="F15" s="13">
        <v>7.2916666666666668E-3</v>
      </c>
      <c r="G15" s="13">
        <f t="shared" si="3"/>
        <v>2.4305555555555556E-3</v>
      </c>
      <c r="H15" s="14">
        <v>2.4305555555555556E-3</v>
      </c>
      <c r="I15" s="43">
        <f t="shared" si="4"/>
        <v>3.4482758620689724E-2</v>
      </c>
      <c r="J15" s="39">
        <v>2.2800925925925927E-3</v>
      </c>
      <c r="K15" s="39">
        <v>5.5474537037037037E-2</v>
      </c>
      <c r="L15" s="39">
        <f t="shared" si="5"/>
        <v>2.6416446208112876E-3</v>
      </c>
      <c r="M15" s="15">
        <f t="shared" si="6"/>
        <v>0.11094907407407407</v>
      </c>
      <c r="N15" s="35">
        <f t="shared" si="0"/>
        <v>1.1944444444444438E-2</v>
      </c>
      <c r="O15" s="33">
        <f t="shared" si="1"/>
        <v>-9.7193445093237796E-2</v>
      </c>
      <c r="P15" s="37">
        <v>2.627314814814815E-3</v>
      </c>
      <c r="Q15" s="42">
        <f t="shared" si="7"/>
        <v>0.15228426395939088</v>
      </c>
      <c r="R15" s="17">
        <v>0.12289351851851851</v>
      </c>
      <c r="S15" s="17">
        <f t="shared" si="8"/>
        <v>2.9260361552028219E-3</v>
      </c>
      <c r="T15" s="18">
        <v>478</v>
      </c>
      <c r="U15" s="18">
        <f t="shared" si="9"/>
        <v>523</v>
      </c>
      <c r="V15" s="36">
        <v>91.395793499043975</v>
      </c>
      <c r="W15" s="9">
        <v>382</v>
      </c>
      <c r="X15" s="9">
        <v>34</v>
      </c>
      <c r="Y15" s="9">
        <v>62</v>
      </c>
      <c r="Z15" s="9">
        <v>79.9163179916318</v>
      </c>
      <c r="AA15" s="9">
        <v>7.1129707112970717</v>
      </c>
      <c r="AB15" s="9">
        <v>12.97071129707113</v>
      </c>
    </row>
    <row r="16" spans="1:28" x14ac:dyDescent="0.25">
      <c r="A16" s="21">
        <v>1</v>
      </c>
      <c r="B16" s="12" t="s">
        <v>30</v>
      </c>
      <c r="C16" s="13">
        <v>2.1759259259259258E-3</v>
      </c>
      <c r="D16" s="17">
        <v>4.6759259259259263E-3</v>
      </c>
      <c r="E16" s="13">
        <f t="shared" si="2"/>
        <v>2.3379629629629631E-3</v>
      </c>
      <c r="F16" s="13">
        <v>7.1759259259259259E-3</v>
      </c>
      <c r="G16" s="13">
        <f t="shared" si="3"/>
        <v>2.3919753086419754E-3</v>
      </c>
      <c r="H16" s="14">
        <v>2.3379629629629631E-3</v>
      </c>
      <c r="I16" s="43">
        <f t="shared" si="4"/>
        <v>7.4468085106383031E-2</v>
      </c>
      <c r="J16" s="39">
        <v>2.1643518518518518E-3</v>
      </c>
      <c r="K16" s="39">
        <v>5.8229166666666665E-2</v>
      </c>
      <c r="L16" s="39">
        <f t="shared" si="5"/>
        <v>2.7728174603174603E-3</v>
      </c>
      <c r="M16" s="15">
        <f t="shared" si="6"/>
        <v>0.11645833333333333</v>
      </c>
      <c r="N16" s="35">
        <f t="shared" si="0"/>
        <v>7.2916666666666685E-3</v>
      </c>
      <c r="O16" s="33">
        <f t="shared" si="1"/>
        <v>-5.8922558922558932E-2</v>
      </c>
      <c r="P16" s="37">
        <v>2.5231481481481481E-3</v>
      </c>
      <c r="Q16" s="42">
        <f t="shared" si="7"/>
        <v>0.16577540106951871</v>
      </c>
      <c r="R16" s="17">
        <v>0.12375</v>
      </c>
      <c r="S16" s="17">
        <f t="shared" si="8"/>
        <v>2.9464285714285712E-3</v>
      </c>
      <c r="T16" s="18">
        <v>510</v>
      </c>
      <c r="U16" s="18">
        <f t="shared" si="9"/>
        <v>523</v>
      </c>
      <c r="V16" s="36">
        <v>97.514340344168261</v>
      </c>
      <c r="W16" s="9">
        <v>394</v>
      </c>
      <c r="X16" s="9">
        <v>42</v>
      </c>
      <c r="Y16" s="9">
        <v>74</v>
      </c>
      <c r="Z16" s="9">
        <v>77.254901960784323</v>
      </c>
      <c r="AA16" s="9">
        <v>8.235294117647058</v>
      </c>
      <c r="AB16" s="9">
        <v>14.509803921568629</v>
      </c>
    </row>
    <row r="17" spans="1:28" x14ac:dyDescent="0.25">
      <c r="A17" s="21">
        <v>1</v>
      </c>
      <c r="B17" s="12" t="s">
        <v>31</v>
      </c>
      <c r="C17" s="13">
        <v>2.5000000000000001E-3</v>
      </c>
      <c r="D17" s="17">
        <v>5.5671296296296293E-3</v>
      </c>
      <c r="E17" s="13">
        <f t="shared" si="2"/>
        <v>2.7835648148148147E-3</v>
      </c>
      <c r="F17" s="13">
        <v>8.2638888888888883E-3</v>
      </c>
      <c r="G17" s="13">
        <f t="shared" si="3"/>
        <v>2.7546296296296294E-3</v>
      </c>
      <c r="H17" s="14">
        <v>2.9166666666666668E-3</v>
      </c>
      <c r="I17" s="43">
        <f t="shared" si="4"/>
        <v>0.16666666666666674</v>
      </c>
      <c r="J17" s="39">
        <v>2.4305555555555556E-3</v>
      </c>
      <c r="K17" s="39">
        <v>6.7962962962962961E-2</v>
      </c>
      <c r="L17" s="39">
        <f t="shared" si="5"/>
        <v>3.2363315696649028E-3</v>
      </c>
      <c r="M17" s="15">
        <f t="shared" si="6"/>
        <v>0.13592592592592592</v>
      </c>
      <c r="N17" s="35">
        <f t="shared" si="0"/>
        <v>6.9560185185185142E-3</v>
      </c>
      <c r="O17" s="33">
        <f t="shared" si="1"/>
        <v>-4.8683677602268105E-2</v>
      </c>
      <c r="P17" s="37">
        <v>3.2986111111111111E-3</v>
      </c>
      <c r="Q17" s="42">
        <f t="shared" si="7"/>
        <v>0.35714285714285721</v>
      </c>
      <c r="R17" s="17">
        <v>0.14288194444444444</v>
      </c>
      <c r="S17" s="17">
        <f t="shared" si="8"/>
        <v>3.401951058201058E-3</v>
      </c>
      <c r="T17" s="18">
        <v>410</v>
      </c>
      <c r="U17" s="18">
        <f t="shared" si="9"/>
        <v>408</v>
      </c>
      <c r="V17" s="36">
        <v>100.49019607843137</v>
      </c>
      <c r="W17" s="9">
        <v>330</v>
      </c>
      <c r="X17" s="9">
        <v>24</v>
      </c>
      <c r="Y17" s="9">
        <v>56</v>
      </c>
      <c r="Z17" s="9">
        <v>80.487804878048792</v>
      </c>
      <c r="AA17" s="9">
        <v>5.8536585365853666</v>
      </c>
      <c r="AB17" s="9">
        <v>13.658536585365855</v>
      </c>
    </row>
    <row r="18" spans="1:28" x14ac:dyDescent="0.25">
      <c r="A18" s="21">
        <v>2</v>
      </c>
      <c r="B18" s="12" t="s">
        <v>32</v>
      </c>
      <c r="C18" s="13">
        <v>3.460648148148148E-3</v>
      </c>
      <c r="D18" s="17">
        <v>7.0023148148148145E-3</v>
      </c>
      <c r="E18" s="13">
        <f t="shared" si="2"/>
        <v>3.5011574074074073E-3</v>
      </c>
      <c r="F18" s="13">
        <v>1.0787037037037038E-2</v>
      </c>
      <c r="G18" s="13">
        <f t="shared" si="3"/>
        <v>3.5956790123456792E-3</v>
      </c>
      <c r="H18" s="14">
        <v>3.6574074074074074E-3</v>
      </c>
      <c r="I18" s="43">
        <f t="shared" si="4"/>
        <v>5.6856187290969862E-2</v>
      </c>
      <c r="J18" s="39">
        <v>3.3333333333333335E-3</v>
      </c>
      <c r="K18" s="39">
        <v>7.9768518518518516E-2</v>
      </c>
      <c r="L18" s="39">
        <f t="shared" si="5"/>
        <v>3.7985008818342153E-3</v>
      </c>
      <c r="M18" s="15">
        <f t="shared" si="6"/>
        <v>0.15953703703703703</v>
      </c>
      <c r="N18" s="35">
        <f t="shared" si="0"/>
        <v>1.8900462962962966E-2</v>
      </c>
      <c r="O18" s="33">
        <f t="shared" si="1"/>
        <v>-0.10592203411818124</v>
      </c>
      <c r="P18" s="37">
        <v>3.4953703703703705E-3</v>
      </c>
      <c r="Q18" s="42">
        <f t="shared" si="7"/>
        <v>4.861111111111116E-2</v>
      </c>
      <c r="R18" s="17">
        <v>0.1784375</v>
      </c>
      <c r="S18" s="17">
        <f t="shared" si="8"/>
        <v>4.2485119047619051E-3</v>
      </c>
      <c r="T18" s="18">
        <v>408</v>
      </c>
      <c r="U18" s="18">
        <f t="shared" si="9"/>
        <v>408</v>
      </c>
      <c r="V18" s="36">
        <v>100</v>
      </c>
      <c r="W18" s="9">
        <v>300</v>
      </c>
      <c r="X18" s="9">
        <v>79</v>
      </c>
      <c r="Y18" s="9">
        <v>29</v>
      </c>
      <c r="Z18" s="9">
        <v>73.529411764705884</v>
      </c>
      <c r="AA18" s="9">
        <v>19.362745098039216</v>
      </c>
      <c r="AB18" s="9">
        <v>7.1078431372549016</v>
      </c>
    </row>
    <row r="19" spans="1:28" x14ac:dyDescent="0.25">
      <c r="A19" s="21">
        <v>2</v>
      </c>
      <c r="B19" s="12" t="s">
        <v>33</v>
      </c>
      <c r="C19" s="13">
        <v>3.3796296296296296E-3</v>
      </c>
      <c r="D19" s="17">
        <v>6.875E-3</v>
      </c>
      <c r="E19" s="13">
        <f t="shared" si="2"/>
        <v>3.4375E-3</v>
      </c>
      <c r="F19" s="13">
        <v>1.074074074074074E-2</v>
      </c>
      <c r="G19" s="13">
        <f t="shared" si="3"/>
        <v>3.5802469135802466E-3</v>
      </c>
      <c r="H19" s="14">
        <v>3.449074074074074E-3</v>
      </c>
      <c r="I19" s="43">
        <f t="shared" si="4"/>
        <v>2.0547945205479534E-2</v>
      </c>
      <c r="J19" s="39">
        <v>3.3101851851851851E-3</v>
      </c>
      <c r="K19" s="39">
        <v>8.8032407407407406E-2</v>
      </c>
      <c r="L19" s="39">
        <f t="shared" si="5"/>
        <v>4.1920194003527336E-3</v>
      </c>
      <c r="M19" s="15">
        <f t="shared" si="6"/>
        <v>0.17606481481481481</v>
      </c>
      <c r="N19" s="34">
        <f t="shared" si="0"/>
        <v>1.9282407407407415E-2</v>
      </c>
      <c r="O19" s="33">
        <f t="shared" si="1"/>
        <v>0.12298833604015957</v>
      </c>
      <c r="P19" s="37">
        <v>3.6805555555555554E-3</v>
      </c>
      <c r="Q19" s="42">
        <f t="shared" si="7"/>
        <v>0.11188811188811187</v>
      </c>
      <c r="R19" s="17">
        <v>0.1567824074074074</v>
      </c>
      <c r="S19" s="17">
        <f t="shared" si="8"/>
        <v>3.7329144620811285E-3</v>
      </c>
      <c r="T19" s="18">
        <v>306</v>
      </c>
      <c r="U19" s="18">
        <f t="shared" si="9"/>
        <v>408</v>
      </c>
      <c r="V19" s="36">
        <v>75</v>
      </c>
      <c r="W19" s="9">
        <v>241</v>
      </c>
      <c r="X19" s="9">
        <v>47</v>
      </c>
      <c r="Y19" s="9">
        <v>18</v>
      </c>
      <c r="Z19" s="9">
        <v>78.75816993464052</v>
      </c>
      <c r="AA19" s="9">
        <v>15.359477124183007</v>
      </c>
      <c r="AB19" s="9">
        <v>5.8823529411764701</v>
      </c>
    </row>
    <row r="20" spans="1:28" x14ac:dyDescent="0.25">
      <c r="A20" s="21">
        <v>2</v>
      </c>
      <c r="B20" s="12" t="s">
        <v>34</v>
      </c>
      <c r="C20" s="13">
        <v>3.1828703703703702E-3</v>
      </c>
      <c r="D20" s="17">
        <v>6.7708333333333336E-3</v>
      </c>
      <c r="E20" s="13">
        <f t="shared" si="2"/>
        <v>3.3854166666666668E-3</v>
      </c>
      <c r="F20" s="13">
        <v>0.01</v>
      </c>
      <c r="G20" s="13">
        <f t="shared" si="3"/>
        <v>3.3333333333333335E-3</v>
      </c>
      <c r="H20" s="14">
        <v>3.7268518518518519E-3</v>
      </c>
      <c r="I20" s="43">
        <f t="shared" si="4"/>
        <v>0.1709090909090909</v>
      </c>
      <c r="J20" s="39">
        <v>3.4027777777777776E-3</v>
      </c>
      <c r="K20" s="39">
        <v>8.2013888888888886E-2</v>
      </c>
      <c r="L20" s="39">
        <f t="shared" si="5"/>
        <v>3.9054232804232804E-3</v>
      </c>
      <c r="M20" s="15">
        <f t="shared" si="6"/>
        <v>0.16402777777777777</v>
      </c>
      <c r="N20" s="35">
        <f t="shared" si="0"/>
        <v>1.9710648148148158E-2</v>
      </c>
      <c r="O20" s="33">
        <f t="shared" si="1"/>
        <v>-0.10727559055118119</v>
      </c>
      <c r="P20" s="37">
        <v>3.7152777777777778E-3</v>
      </c>
      <c r="Q20" s="42">
        <f t="shared" si="7"/>
        <v>9.1836734693877542E-2</v>
      </c>
      <c r="R20" s="17">
        <v>0.18373842592592593</v>
      </c>
      <c r="S20" s="17">
        <f t="shared" si="8"/>
        <v>4.3747244268077601E-3</v>
      </c>
      <c r="T20" s="18">
        <v>398</v>
      </c>
      <c r="U20" s="18">
        <f t="shared" si="9"/>
        <v>408</v>
      </c>
      <c r="V20" s="36">
        <v>97.549019607843135</v>
      </c>
      <c r="W20" s="9">
        <v>290</v>
      </c>
      <c r="X20" s="9">
        <v>79</v>
      </c>
      <c r="Y20" s="9">
        <v>29</v>
      </c>
      <c r="Z20" s="9">
        <v>72.8643216080402</v>
      </c>
      <c r="AA20" s="9">
        <v>19.849246231155778</v>
      </c>
      <c r="AB20" s="9">
        <v>7.2864321608040195</v>
      </c>
    </row>
    <row r="21" spans="1:28" x14ac:dyDescent="0.25">
      <c r="A21" s="21">
        <v>2</v>
      </c>
      <c r="B21" s="12" t="s">
        <v>35</v>
      </c>
      <c r="C21" s="13">
        <v>3.1134259259259257E-3</v>
      </c>
      <c r="D21" s="17">
        <v>6.4930555555555557E-3</v>
      </c>
      <c r="E21" s="13">
        <f t="shared" si="2"/>
        <v>3.2465277777777779E-3</v>
      </c>
      <c r="F21" s="13">
        <v>1.0451388888888889E-2</v>
      </c>
      <c r="G21" s="13">
        <f t="shared" si="3"/>
        <v>3.483796296296296E-3</v>
      </c>
      <c r="H21" s="14">
        <v>3.5300925925925925E-3</v>
      </c>
      <c r="I21" s="43">
        <f t="shared" si="4"/>
        <v>0.13382899628252787</v>
      </c>
      <c r="J21" s="39">
        <v>3.1134259259259257E-3</v>
      </c>
      <c r="K21" s="39">
        <v>8.5532407407407404E-2</v>
      </c>
      <c r="L21" s="39">
        <f t="shared" si="5"/>
        <v>4.0729717813051142E-3</v>
      </c>
      <c r="M21" s="15">
        <f t="shared" si="6"/>
        <v>0.17106481481481481</v>
      </c>
      <c r="N21" s="35">
        <f t="shared" si="0"/>
        <v>1.197916666666668E-2</v>
      </c>
      <c r="O21" s="33">
        <f t="shared" si="1"/>
        <v>-6.5444198545684507E-2</v>
      </c>
      <c r="P21" s="37">
        <v>3.460648148148148E-3</v>
      </c>
      <c r="Q21" s="42">
        <f t="shared" si="7"/>
        <v>0.11152416356877337</v>
      </c>
      <c r="R21" s="17">
        <v>0.18304398148148149</v>
      </c>
      <c r="S21" s="17">
        <f t="shared" si="8"/>
        <v>4.3581900352733689E-3</v>
      </c>
      <c r="T21" s="18">
        <v>388</v>
      </c>
      <c r="U21" s="18">
        <f t="shared" si="9"/>
        <v>408</v>
      </c>
      <c r="V21" s="36">
        <v>95.098039215686271</v>
      </c>
      <c r="W21" s="9">
        <v>280</v>
      </c>
      <c r="X21" s="9">
        <v>79</v>
      </c>
      <c r="Y21" s="9">
        <v>29</v>
      </c>
      <c r="Z21" s="9">
        <v>72.164948453608247</v>
      </c>
      <c r="AA21" s="9">
        <v>20.36082474226804</v>
      </c>
      <c r="AB21" s="9">
        <v>7.4742268041237114</v>
      </c>
    </row>
    <row r="22" spans="1:28" x14ac:dyDescent="0.25">
      <c r="A22" s="21">
        <v>2</v>
      </c>
      <c r="B22" s="12" t="s">
        <v>36</v>
      </c>
      <c r="C22" s="13">
        <v>2.2685185185185187E-3</v>
      </c>
      <c r="D22" s="17">
        <v>4.8148148148148152E-3</v>
      </c>
      <c r="E22" s="13">
        <f t="shared" si="2"/>
        <v>2.4074074074074076E-3</v>
      </c>
      <c r="F22" s="13">
        <v>7.3263888888888892E-3</v>
      </c>
      <c r="G22" s="13">
        <f t="shared" si="3"/>
        <v>2.4421296296296296E-3</v>
      </c>
      <c r="H22" s="14">
        <v>2.4421296296296296E-3</v>
      </c>
      <c r="I22" s="43">
        <f t="shared" si="4"/>
        <v>7.6530612244897878E-2</v>
      </c>
      <c r="J22" s="39">
        <v>2.2222222222222222E-3</v>
      </c>
      <c r="K22" s="39">
        <v>6.2407407407407404E-2</v>
      </c>
      <c r="L22" s="39">
        <f t="shared" si="5"/>
        <v>2.9717813051146381E-3</v>
      </c>
      <c r="M22" s="15">
        <f t="shared" si="6"/>
        <v>0.1248148148148148</v>
      </c>
      <c r="N22" s="35">
        <f t="shared" si="0"/>
        <v>2.1701388888888895E-2</v>
      </c>
      <c r="O22" s="33">
        <f t="shared" si="1"/>
        <v>-0.14811596492613954</v>
      </c>
      <c r="P22" s="37">
        <v>2.7662037037037039E-3</v>
      </c>
      <c r="Q22" s="42">
        <f t="shared" si="7"/>
        <v>0.24479166666666674</v>
      </c>
      <c r="R22" s="17">
        <v>0.14651620370370369</v>
      </c>
      <c r="S22" s="17">
        <f t="shared" si="8"/>
        <v>3.4884810405643738E-3</v>
      </c>
      <c r="T22" s="18">
        <v>517</v>
      </c>
      <c r="U22" s="18">
        <f t="shared" si="9"/>
        <v>523</v>
      </c>
      <c r="V22" s="36">
        <v>98.852772466539193</v>
      </c>
      <c r="W22" s="9">
        <v>384</v>
      </c>
      <c r="X22" s="9">
        <v>95</v>
      </c>
      <c r="Y22" s="9">
        <v>38</v>
      </c>
      <c r="Z22" s="9">
        <v>74.274661508704071</v>
      </c>
      <c r="AA22" s="9">
        <v>18.375241779497099</v>
      </c>
      <c r="AB22" s="9">
        <v>7.3500967117988401</v>
      </c>
    </row>
    <row r="23" spans="1:28" x14ac:dyDescent="0.25">
      <c r="A23" s="21">
        <v>2</v>
      </c>
      <c r="B23" s="12" t="s">
        <v>37</v>
      </c>
      <c r="C23" s="13">
        <v>2.5347222222222221E-3</v>
      </c>
      <c r="D23" s="17">
        <v>5.092592592592593E-3</v>
      </c>
      <c r="E23" s="13">
        <f t="shared" si="2"/>
        <v>2.5462962962962965E-3</v>
      </c>
      <c r="F23" s="13">
        <v>8.2523148148148148E-3</v>
      </c>
      <c r="G23" s="13">
        <f t="shared" si="3"/>
        <v>2.7507716049382717E-3</v>
      </c>
      <c r="H23" s="14">
        <v>2.8240740740740739E-3</v>
      </c>
      <c r="I23" s="43">
        <f t="shared" si="4"/>
        <v>0.11415525114155245</v>
      </c>
      <c r="J23" s="39">
        <v>2.5000000000000001E-3</v>
      </c>
      <c r="K23" s="39">
        <v>6.7800925925925931E-2</v>
      </c>
      <c r="L23" s="39">
        <f t="shared" si="5"/>
        <v>3.2286155202821873E-3</v>
      </c>
      <c r="M23" s="15">
        <f t="shared" si="6"/>
        <v>0.13560185185185186</v>
      </c>
      <c r="N23" s="35">
        <f t="shared" si="0"/>
        <v>2.5590277777777753E-2</v>
      </c>
      <c r="O23" s="33">
        <f t="shared" si="1"/>
        <v>-0.15875637251382191</v>
      </c>
      <c r="P23" s="37">
        <v>2.8356481481481483E-3</v>
      </c>
      <c r="Q23" s="42">
        <f t="shared" si="7"/>
        <v>0.1342592592592593</v>
      </c>
      <c r="R23" s="17">
        <v>0.16119212962962962</v>
      </c>
      <c r="S23" s="17">
        <f t="shared" si="8"/>
        <v>3.8379078483245146E-3</v>
      </c>
      <c r="T23" s="18">
        <v>335</v>
      </c>
      <c r="U23" s="18">
        <f t="shared" si="9"/>
        <v>408</v>
      </c>
      <c r="V23" s="36">
        <v>82.107843137254903</v>
      </c>
      <c r="W23" s="9">
        <v>231</v>
      </c>
      <c r="X23" s="9">
        <v>79</v>
      </c>
      <c r="Y23" s="9">
        <v>25</v>
      </c>
      <c r="Z23" s="9">
        <v>68.955223880597018</v>
      </c>
      <c r="AA23" s="9">
        <v>23.582089552238806</v>
      </c>
      <c r="AB23" s="9">
        <v>7.4626865671641784</v>
      </c>
    </row>
    <row r="24" spans="1:28" x14ac:dyDescent="0.25">
      <c r="A24" s="21">
        <v>2</v>
      </c>
      <c r="B24" s="12" t="s">
        <v>38</v>
      </c>
      <c r="C24" s="13">
        <v>2.8356481481481483E-3</v>
      </c>
      <c r="D24" s="17">
        <v>5.8217592592592592E-3</v>
      </c>
      <c r="E24" s="13">
        <f t="shared" si="2"/>
        <v>2.9108796296296296E-3</v>
      </c>
      <c r="F24" s="13">
        <v>9.0972222222222218E-3</v>
      </c>
      <c r="G24" s="13">
        <f t="shared" si="3"/>
        <v>3.0324074074074073E-3</v>
      </c>
      <c r="H24" s="14">
        <v>3.414351851851852E-3</v>
      </c>
      <c r="I24" s="43">
        <f t="shared" si="4"/>
        <v>0.20408163265306123</v>
      </c>
      <c r="J24" s="39">
        <v>2.638888888888889E-3</v>
      </c>
      <c r="K24" s="39">
        <v>6.7800925925925931E-2</v>
      </c>
      <c r="L24" s="39">
        <f t="shared" si="5"/>
        <v>3.2286155202821873E-3</v>
      </c>
      <c r="M24" s="15">
        <f t="shared" si="6"/>
        <v>0.13560185185185186</v>
      </c>
      <c r="N24" s="35">
        <f t="shared" si="0"/>
        <v>2.3854166666666649E-2</v>
      </c>
      <c r="O24" s="33">
        <f t="shared" si="1"/>
        <v>-0.14959715467808654</v>
      </c>
      <c r="P24" s="37">
        <v>3.1944444444444446E-3</v>
      </c>
      <c r="Q24" s="42">
        <f t="shared" si="7"/>
        <v>0.21052631578947367</v>
      </c>
      <c r="R24" s="17">
        <v>0.15945601851851851</v>
      </c>
      <c r="S24" s="17">
        <f t="shared" si="8"/>
        <v>3.7965718694885362E-3</v>
      </c>
      <c r="T24" s="18">
        <v>341</v>
      </c>
      <c r="U24" s="18">
        <f t="shared" si="9"/>
        <v>408</v>
      </c>
      <c r="V24" s="36">
        <v>83.578431372549019</v>
      </c>
      <c r="W24" s="9">
        <v>242</v>
      </c>
      <c r="X24" s="9">
        <v>74</v>
      </c>
      <c r="Y24" s="9">
        <v>25</v>
      </c>
      <c r="Z24" s="9">
        <v>70.967741935483872</v>
      </c>
      <c r="AA24" s="9">
        <v>21.700879765395893</v>
      </c>
      <c r="AB24" s="9">
        <v>7.3313782991202352</v>
      </c>
    </row>
    <row r="25" spans="1:28" x14ac:dyDescent="0.25">
      <c r="A25" s="21">
        <v>2</v>
      </c>
      <c r="B25" s="12" t="s">
        <v>39</v>
      </c>
      <c r="C25" s="13">
        <v>2.2106481481481482E-3</v>
      </c>
      <c r="D25" s="17">
        <v>4.5486111111111109E-3</v>
      </c>
      <c r="E25" s="13">
        <f t="shared" si="2"/>
        <v>2.2743055555555555E-3</v>
      </c>
      <c r="F25" s="13">
        <v>7.3842592592592597E-3</v>
      </c>
      <c r="G25" s="13">
        <f t="shared" si="3"/>
        <v>2.4614197530864199E-3</v>
      </c>
      <c r="H25" s="14">
        <v>2.3032407407407407E-3</v>
      </c>
      <c r="I25" s="43">
        <f t="shared" si="4"/>
        <v>4.1884816753926746E-2</v>
      </c>
      <c r="J25" s="39">
        <v>2.2106481481481482E-3</v>
      </c>
      <c r="K25" s="39">
        <v>6.0011574074074071E-2</v>
      </c>
      <c r="L25" s="39">
        <f t="shared" si="5"/>
        <v>2.8576940035273369E-3</v>
      </c>
      <c r="M25" s="15">
        <f t="shared" si="6"/>
        <v>0.12002314814814814</v>
      </c>
      <c r="N25" s="35">
        <f t="shared" si="0"/>
        <v>1.0277777777777788E-2</v>
      </c>
      <c r="O25" s="33">
        <f t="shared" si="1"/>
        <v>-7.887724284952935E-2</v>
      </c>
      <c r="P25" s="37">
        <v>2.627314814814815E-3</v>
      </c>
      <c r="Q25" s="42">
        <f t="shared" si="7"/>
        <v>0.18848167539267013</v>
      </c>
      <c r="R25" s="17">
        <v>0.13030092592592593</v>
      </c>
      <c r="S25" s="17">
        <f t="shared" si="8"/>
        <v>3.1024029982363319E-3</v>
      </c>
      <c r="T25" s="18">
        <v>527</v>
      </c>
      <c r="U25" s="18">
        <f t="shared" si="9"/>
        <v>523</v>
      </c>
      <c r="V25" s="36">
        <v>100.76481835564053</v>
      </c>
      <c r="W25" s="9">
        <v>386</v>
      </c>
      <c r="X25" s="9">
        <v>105</v>
      </c>
      <c r="Y25" s="9">
        <v>36</v>
      </c>
      <c r="Z25" s="9">
        <v>73.244781783681219</v>
      </c>
      <c r="AA25" s="9">
        <v>19.924098671726757</v>
      </c>
      <c r="AB25" s="9">
        <v>6.8311195445920303</v>
      </c>
    </row>
    <row r="26" spans="1:28" x14ac:dyDescent="0.25">
      <c r="A26" s="21">
        <v>2</v>
      </c>
      <c r="B26" s="12" t="s">
        <v>40</v>
      </c>
      <c r="C26" s="13">
        <v>2.7199074074074074E-3</v>
      </c>
      <c r="D26" s="17">
        <v>5.8333333333333336E-3</v>
      </c>
      <c r="E26" s="13">
        <f t="shared" si="2"/>
        <v>2.9166666666666668E-3</v>
      </c>
      <c r="F26" s="13">
        <v>8.8541666666666664E-3</v>
      </c>
      <c r="G26" s="13">
        <f t="shared" si="3"/>
        <v>2.9513888888888888E-3</v>
      </c>
      <c r="H26" s="14">
        <v>2.8703703703703703E-3</v>
      </c>
      <c r="I26" s="43">
        <f t="shared" si="4"/>
        <v>5.5319148936170182E-2</v>
      </c>
      <c r="J26" s="39">
        <v>2.7662037037037039E-3</v>
      </c>
      <c r="K26" s="39">
        <v>6.7696759259259262E-2</v>
      </c>
      <c r="L26" s="39">
        <f t="shared" si="5"/>
        <v>3.2236552028218697E-3</v>
      </c>
      <c r="M26" s="15">
        <f t="shared" si="6"/>
        <v>0.13539351851851852</v>
      </c>
      <c r="N26" s="35">
        <f t="shared" si="0"/>
        <v>1.8888888888888872E-2</v>
      </c>
      <c r="O26" s="33">
        <f t="shared" si="1"/>
        <v>-0.12243060765191283</v>
      </c>
      <c r="P26" s="37">
        <v>3.0439814814814813E-3</v>
      </c>
      <c r="Q26" s="42">
        <f t="shared" si="7"/>
        <v>0.10041841004184082</v>
      </c>
      <c r="R26" s="17">
        <v>0.1542824074074074</v>
      </c>
      <c r="S26" s="17">
        <f t="shared" si="8"/>
        <v>3.6733906525573188E-3</v>
      </c>
      <c r="T26" s="18">
        <v>391</v>
      </c>
      <c r="U26" s="18">
        <f t="shared" si="9"/>
        <v>407.99999999999994</v>
      </c>
      <c r="V26" s="36">
        <v>95.833333333333343</v>
      </c>
      <c r="W26" s="9">
        <v>284</v>
      </c>
      <c r="X26" s="9">
        <v>79</v>
      </c>
      <c r="Y26" s="9">
        <v>28</v>
      </c>
      <c r="Z26" s="9">
        <v>72.63427109974424</v>
      </c>
      <c r="AA26" s="9">
        <v>20.204603580562662</v>
      </c>
      <c r="AB26" s="9">
        <v>7.1611253196930944</v>
      </c>
    </row>
    <row r="27" spans="1:28" x14ac:dyDescent="0.25">
      <c r="A27" s="21">
        <v>2</v>
      </c>
      <c r="B27" s="12" t="s">
        <v>41</v>
      </c>
      <c r="C27" s="13">
        <v>2.7083333333333334E-3</v>
      </c>
      <c r="D27" s="17">
        <v>5.6134259259259262E-3</v>
      </c>
      <c r="E27" s="13">
        <f t="shared" si="2"/>
        <v>2.8067129629629631E-3</v>
      </c>
      <c r="F27" s="13">
        <v>8.3912037037037045E-3</v>
      </c>
      <c r="G27" s="13">
        <f t="shared" si="3"/>
        <v>2.7970679012345682E-3</v>
      </c>
      <c r="H27" s="14">
        <v>2.8703703703703703E-3</v>
      </c>
      <c r="I27" s="43">
        <f t="shared" si="4"/>
        <v>5.9829059829059839E-2</v>
      </c>
      <c r="J27" s="39">
        <v>2.4305555555555556E-3</v>
      </c>
      <c r="K27" s="39">
        <v>6.2210648148148147E-2</v>
      </c>
      <c r="L27" s="39">
        <f t="shared" si="5"/>
        <v>2.9624118165784831E-3</v>
      </c>
      <c r="M27" s="15">
        <f t="shared" si="6"/>
        <v>0.12442129629629629</v>
      </c>
      <c r="N27" s="35">
        <f t="shared" si="0"/>
        <v>7.8587962962963082E-3</v>
      </c>
      <c r="O27" s="33">
        <f t="shared" si="1"/>
        <v>-5.941027211479577E-2</v>
      </c>
      <c r="P27" s="37">
        <v>2.5810185185185185E-3</v>
      </c>
      <c r="Q27" s="42">
        <f t="shared" si="7"/>
        <v>6.1904761904761907E-2</v>
      </c>
      <c r="R27" s="17">
        <v>0.1322800925925926</v>
      </c>
      <c r="S27" s="17">
        <f t="shared" si="8"/>
        <v>3.1495260141093475E-3</v>
      </c>
      <c r="T27" s="18">
        <v>523</v>
      </c>
      <c r="U27" s="18">
        <f t="shared" si="9"/>
        <v>523</v>
      </c>
      <c r="V27" s="36">
        <v>100</v>
      </c>
      <c r="W27" s="9">
        <v>388</v>
      </c>
      <c r="X27" s="9">
        <v>97</v>
      </c>
      <c r="Y27" s="9">
        <v>38</v>
      </c>
      <c r="Z27" s="9">
        <v>74.187380497131926</v>
      </c>
      <c r="AA27" s="9">
        <v>18.546845124282981</v>
      </c>
      <c r="AB27" s="9">
        <v>7.2657743785850863</v>
      </c>
    </row>
    <row r="28" spans="1:28" x14ac:dyDescent="0.25">
      <c r="A28" s="21">
        <v>2</v>
      </c>
      <c r="B28" s="12" t="s">
        <v>42</v>
      </c>
      <c r="C28" s="13">
        <v>3.2754629629629631E-3</v>
      </c>
      <c r="D28" s="17">
        <v>7.0717592592592594E-3</v>
      </c>
      <c r="E28" s="13">
        <f t="shared" si="2"/>
        <v>3.5358796296296297E-3</v>
      </c>
      <c r="F28" s="13">
        <v>1.1597222222222222E-2</v>
      </c>
      <c r="G28" s="13">
        <f t="shared" si="3"/>
        <v>3.8657407407407408E-3</v>
      </c>
      <c r="H28" s="14">
        <v>3.6458333333333334E-3</v>
      </c>
      <c r="I28" s="43">
        <f t="shared" si="4"/>
        <v>0.11307420494699638</v>
      </c>
      <c r="J28" s="39">
        <v>3.1481481481481482E-3</v>
      </c>
      <c r="K28" s="39">
        <v>8.8645833333333326E-2</v>
      </c>
      <c r="L28" s="39">
        <f t="shared" si="5"/>
        <v>4.2212301587301587E-3</v>
      </c>
      <c r="M28" s="15">
        <f t="shared" si="6"/>
        <v>0.17729166666666665</v>
      </c>
      <c r="N28" s="35">
        <f t="shared" si="0"/>
        <v>3.784722222222231E-3</v>
      </c>
      <c r="O28" s="33">
        <f t="shared" si="1"/>
        <v>-2.0901246404602114E-2</v>
      </c>
      <c r="P28" s="38">
        <v>3.8425925925925928E-3</v>
      </c>
      <c r="Q28" s="42">
        <f t="shared" si="7"/>
        <v>0.22058823529411775</v>
      </c>
      <c r="R28" s="17">
        <v>0.18107638888888888</v>
      </c>
      <c r="S28" s="17">
        <f t="shared" si="8"/>
        <v>4.3113425925925923E-3</v>
      </c>
      <c r="T28" s="18">
        <v>342</v>
      </c>
      <c r="U28" s="18">
        <f t="shared" si="9"/>
        <v>408</v>
      </c>
      <c r="V28" s="36">
        <v>83.82352941176471</v>
      </c>
      <c r="W28" s="9">
        <v>251</v>
      </c>
      <c r="X28" s="9">
        <v>66</v>
      </c>
      <c r="Y28" s="9">
        <v>25</v>
      </c>
      <c r="Z28" s="9">
        <v>73.391812865497073</v>
      </c>
      <c r="AA28" s="9">
        <v>19.298245614035086</v>
      </c>
      <c r="AB28" s="9">
        <v>7.3099415204678362</v>
      </c>
    </row>
    <row r="29" spans="1:28" x14ac:dyDescent="0.25">
      <c r="A29" s="21">
        <v>2</v>
      </c>
      <c r="B29" s="12" t="s">
        <v>43</v>
      </c>
      <c r="C29" s="13">
        <v>2.3148148148148147E-3</v>
      </c>
      <c r="D29" s="17">
        <v>5.2199074074074075E-3</v>
      </c>
      <c r="E29" s="13">
        <f t="shared" si="2"/>
        <v>2.6099537037037037E-3</v>
      </c>
      <c r="F29" s="13">
        <v>8.0324074074074082E-3</v>
      </c>
      <c r="G29" s="13">
        <f t="shared" si="3"/>
        <v>2.6774691358024696E-3</v>
      </c>
      <c r="H29" s="14">
        <v>3.3680555555555556E-3</v>
      </c>
      <c r="I29" s="43">
        <f t="shared" si="4"/>
        <v>0.45500000000000007</v>
      </c>
      <c r="J29" s="39">
        <v>2.3148148148148147E-3</v>
      </c>
      <c r="K29" s="41">
        <v>7.0069444444444448E-2</v>
      </c>
      <c r="L29" s="39">
        <f t="shared" si="5"/>
        <v>3.336640211640212E-3</v>
      </c>
      <c r="M29" s="15">
        <f t="shared" si="6"/>
        <v>0.1401388888888889</v>
      </c>
      <c r="N29" s="35">
        <f t="shared" si="0"/>
        <v>3.2407407407407385E-3</v>
      </c>
      <c r="O29" s="33">
        <f t="shared" si="1"/>
        <v>-2.2602518566354535E-2</v>
      </c>
      <c r="P29" s="37">
        <v>2.6967592592592594E-3</v>
      </c>
      <c r="Q29" s="42">
        <f t="shared" si="7"/>
        <v>0.16500000000000004</v>
      </c>
      <c r="R29" s="17">
        <v>0.14337962962962963</v>
      </c>
      <c r="S29" s="17">
        <f t="shared" si="8"/>
        <v>3.4138007054673723E-3</v>
      </c>
      <c r="T29" s="18">
        <v>463</v>
      </c>
      <c r="U29" s="18">
        <f t="shared" si="9"/>
        <v>408</v>
      </c>
      <c r="V29" s="36">
        <v>113.48039215686273</v>
      </c>
      <c r="W29" s="9">
        <v>380</v>
      </c>
      <c r="X29" s="9">
        <v>74</v>
      </c>
      <c r="Y29" s="9">
        <v>9</v>
      </c>
      <c r="Z29" s="9">
        <v>82.073434125269983</v>
      </c>
      <c r="AA29" s="9">
        <v>15.982721382289416</v>
      </c>
      <c r="AB29" s="9">
        <v>1.9438444924406046</v>
      </c>
    </row>
    <row r="30" spans="1:28" s="22" customFormat="1" x14ac:dyDescent="0.25">
      <c r="A30" s="23">
        <v>2</v>
      </c>
      <c r="B30" s="11" t="s">
        <v>44</v>
      </c>
      <c r="C30" s="8">
        <v>3.2523148148148147E-3</v>
      </c>
      <c r="D30" s="31">
        <v>6.6550925925925927E-3</v>
      </c>
      <c r="E30" s="13">
        <f t="shared" si="2"/>
        <v>3.3275462962962963E-3</v>
      </c>
      <c r="F30" s="8">
        <v>1.037037037037037E-2</v>
      </c>
      <c r="G30" s="13">
        <f t="shared" si="3"/>
        <v>3.4567901234567899E-3</v>
      </c>
      <c r="H30" s="7">
        <v>3.4953703703703705E-3</v>
      </c>
      <c r="I30" s="43">
        <f t="shared" si="4"/>
        <v>7.4733096085409345E-2</v>
      </c>
      <c r="J30" s="38">
        <v>3.1597222222222222E-3</v>
      </c>
      <c r="K30" s="38">
        <v>8.1481481481481488E-2</v>
      </c>
      <c r="L30" s="39">
        <f t="shared" si="5"/>
        <v>3.8800705467372139E-3</v>
      </c>
      <c r="M30" s="15">
        <f t="shared" si="6"/>
        <v>0.16296296296296298</v>
      </c>
      <c r="N30" s="35">
        <f t="shared" si="0"/>
        <v>1.5856481481481471E-2</v>
      </c>
      <c r="O30" s="33">
        <f t="shared" si="1"/>
        <v>-8.8673139158575998E-2</v>
      </c>
      <c r="P30" s="38">
        <v>3.6226851851851854E-3</v>
      </c>
      <c r="Q30" s="42">
        <f t="shared" si="7"/>
        <v>0.14652014652014667</v>
      </c>
      <c r="R30" s="14">
        <v>0.17881944444444445</v>
      </c>
      <c r="S30" s="17">
        <f t="shared" si="8"/>
        <v>4.2576058201058203E-3</v>
      </c>
      <c r="T30" s="18">
        <v>395</v>
      </c>
      <c r="U30" s="18">
        <f t="shared" si="9"/>
        <v>411.45833333333337</v>
      </c>
      <c r="V30" s="36">
        <v>96</v>
      </c>
      <c r="W30" s="9">
        <v>298</v>
      </c>
      <c r="X30" s="9">
        <v>72</v>
      </c>
      <c r="Y30" s="9">
        <v>25</v>
      </c>
      <c r="Z30" s="9">
        <v>75</v>
      </c>
      <c r="AA30" s="9">
        <v>18</v>
      </c>
      <c r="AB30" s="9">
        <v>6</v>
      </c>
    </row>
    <row r="31" spans="1:28" s="22" customFormat="1" x14ac:dyDescent="0.25">
      <c r="A31" s="23">
        <v>2</v>
      </c>
      <c r="B31" s="11" t="s">
        <v>45</v>
      </c>
      <c r="C31" s="7">
        <v>3.0671296296296297E-3</v>
      </c>
      <c r="D31" s="32">
        <v>6.8055555555555551E-3</v>
      </c>
      <c r="E31" s="13">
        <f t="shared" si="2"/>
        <v>3.4027777777777776E-3</v>
      </c>
      <c r="F31" s="7">
        <v>1.0532407407407407E-2</v>
      </c>
      <c r="G31" s="13">
        <f t="shared" si="3"/>
        <v>3.5108024691358022E-3</v>
      </c>
      <c r="H31" s="7">
        <v>3.3564814814814816E-3</v>
      </c>
      <c r="I31" s="43">
        <f t="shared" si="4"/>
        <v>9.4339622641509413E-2</v>
      </c>
      <c r="J31" s="32">
        <v>2.9861111111111113E-3</v>
      </c>
      <c r="K31" s="32">
        <v>8.6249999999999993E-2</v>
      </c>
      <c r="L31" s="39">
        <f t="shared" si="5"/>
        <v>4.1071428571428569E-3</v>
      </c>
      <c r="M31" s="15">
        <f t="shared" si="6"/>
        <v>0.17249999999999999</v>
      </c>
      <c r="N31" s="35">
        <f t="shared" si="0"/>
        <v>1.3750000000000012E-2</v>
      </c>
      <c r="O31" s="33">
        <f t="shared" si="1"/>
        <v>-7.3825503355704813E-2</v>
      </c>
      <c r="P31" s="32">
        <v>3.5648148148148149E-3</v>
      </c>
      <c r="Q31" s="42">
        <f t="shared" si="7"/>
        <v>0.193798449612403</v>
      </c>
      <c r="R31" s="7">
        <v>0.18625</v>
      </c>
      <c r="S31" s="17">
        <f t="shared" si="8"/>
        <v>4.4345238095238092E-3</v>
      </c>
      <c r="T31" s="18">
        <v>372</v>
      </c>
      <c r="U31" s="18">
        <f t="shared" si="9"/>
        <v>408.79120879120876</v>
      </c>
      <c r="V31" s="36">
        <v>91</v>
      </c>
      <c r="W31" s="9">
        <v>295</v>
      </c>
      <c r="X31" s="9">
        <v>55</v>
      </c>
      <c r="Y31" s="9">
        <v>22</v>
      </c>
      <c r="Z31" s="9">
        <v>79</v>
      </c>
      <c r="AA31" s="9">
        <v>14</v>
      </c>
      <c r="AB31" s="9">
        <v>6</v>
      </c>
    </row>
    <row r="33" spans="14:14" x14ac:dyDescent="0.25">
      <c r="N33" s="24"/>
    </row>
  </sheetData>
  <conditionalFormatting sqref="V3:V31">
    <cfRule type="cellIs" dxfId="1" priority="1" operator="greaterThan">
      <formula>90</formula>
    </cfRule>
    <cfRule type="cellIs" dxfId="0" priority="2" operator="lessThan">
      <formula>80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Raw</vt:lpstr>
      <vt:lpstr>Ajustes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Simão Vernizi</cp:lastModifiedBy>
  <cp:revision/>
  <dcterms:created xsi:type="dcterms:W3CDTF">2026-06-17T11:43:28Z</dcterms:created>
  <dcterms:modified xsi:type="dcterms:W3CDTF">2026-07-02T00:34:03Z</dcterms:modified>
  <cp:category/>
  <cp:contentStatus/>
</cp:coreProperties>
</file>